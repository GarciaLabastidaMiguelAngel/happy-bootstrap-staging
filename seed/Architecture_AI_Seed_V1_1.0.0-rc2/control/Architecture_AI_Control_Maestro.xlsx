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ec76bff8e4f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e8c1031d83a4e6e"/>
    <x:sheet xmlns:r="http://schemas.openxmlformats.org/officeDocument/2006/relationships" name="Documents" sheetId="2" r:id="Rea6acd89ac8d4199"/>
    <x:sheet xmlns:r="http://schemas.openxmlformats.org/officeDocument/2006/relationships" name="Sources" sheetId="3" r:id="R0d91200dfdda4b1a"/>
    <x:sheet xmlns:r="http://schemas.openxmlformats.org/officeDocument/2006/relationships" name="Evidence" sheetId="4" r:id="R52941a03a21d4654"/>
    <x:sheet xmlns:r="http://schemas.openxmlformats.org/officeDocument/2006/relationships" name="Decisions" sheetId="5" r:id="R1ccb3fd5be264cc6"/>
    <x:sheet xmlns:r="http://schemas.openxmlformats.org/officeDocument/2006/relationships" name="Prompts-Devin" sheetId="6" r:id="Rdca4cd67c09043b3"/>
    <x:sheet xmlns:r="http://schemas.openxmlformats.org/officeDocument/2006/relationships" name="Diagrams" sheetId="7" r:id="Rb918bfe9e197486a"/>
    <x:sheet xmlns:r="http://schemas.openxmlformats.org/officeDocument/2006/relationships" name="Issues" sheetId="8" r:id="Raf1206985c9b4f4d"/>
    <x:sheet xmlns:r="http://schemas.openxmlformats.org/officeDocument/2006/relationships" name="Glossary" sheetId="9" r:id="Rdc364c1fecbd413e"/>
    <x:sheet xmlns:r="http://schemas.openxmlformats.org/officeDocument/2006/relationships" name="Alignment-O3" sheetId="10" r:id="R22f0cee66e7d495d"/>
    <x:sheet xmlns:r="http://schemas.openxmlformats.org/officeDocument/2006/relationships" name="Oleada-3B" sheetId="11" r:id="R5c656f2f0e2344db"/>
    <x:sheet xmlns:r="http://schemas.openxmlformats.org/officeDocument/2006/relationships" name="Oleada-3C" sheetId="12" r:id="Rcad062a426a94c6d"/>
    <x:sheet xmlns:r="http://schemas.openxmlformats.org/officeDocument/2006/relationships" name="Oleada-3D" sheetId="13" r:id="R320cefa9dcc340c5"/>
    <x:sheet xmlns:r="http://schemas.openxmlformats.org/officeDocument/2006/relationships" name="Oleada-3E" sheetId="14" r:id="R9ac6fb7054e347d1"/>
    <x:sheet xmlns:r="http://schemas.openxmlformats.org/officeDocument/2006/relationships" name="Seed-Accept" sheetId="15" r:id="Rc39c65e90d524ab4"/>
    <x:sheet xmlns:r="http://schemas.openxmlformats.org/officeDocument/2006/relationships" name="Seed-Close" sheetId="16" r:id="R95a45d745a0b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1"/>
      <x:color rgb="FF0B2545"/>
      <x:name val="Carlito"/>
    </x:font>
    <x:font>
      <x:b/>
      <x:sz val="11"/>
      <x:color rgb="FF2E74B5"/>
      <x:name val="Carlito"/>
    </x:font>
    <x:font>
      <x:sz val="11"/>
      <x:color rgb="FF0B2545"/>
      <x:name val="Carlito"/>
    </x:font>
    <x:font>
      <x:sz val="10"/>
      <x:color rgb="FF172B4D"/>
      <x:name val="Carlito"/>
    </x:font>
    <x:font>
      <x:b/>
      <x:sz val="11"/>
      <x:color rgb="FF8B0000"/>
      <x:name val="Carlito"/>
    </x:font>
    <x:font>
      <x:b/>
      <x:sz val="11"/>
      <x:color rgb="FF137333"/>
      <x:name val="Carlito"/>
    </x:font>
    <x:font>
      <x:b/>
      <x:sz val="20"/>
      <x:color rgb="FFFFFFFF"/>
      <x:name val="Carlito"/>
    </x:font>
    <x:font>
      <x:b/>
      <x:sz val="11"/>
      <x:color rgb="FF6B4F00"/>
      <x:name val="Carlito"/>
    </x:font>
    <x:font>
      <x:b/>
      <x:sz val="19"/>
      <x:color rgb="FFFFFFFF"/>
      <x:name val="Carlito"/>
    </x:font>
    <x:font>
      <x:b/>
      <x:sz val="18"/>
      <x:color rgb="FFFFFFFF"/>
      <x:name val="Carlito"/>
    </x:font>
  </x:fonts>
  <x:fills count="4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8FAFC"/>
      </x:patternFill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FFF3CD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0B2545"/>
      </x:patternFill>
    </x:fill>
    <x:fill>
      <x:patternFill patternType="solid">
        <x:fgColor rgb="FFFFF3CD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0B2545"/>
      </x:patternFill>
    </x:fill>
    <x:fill>
      <x:patternFill patternType="solid">
        <x:fgColor rgb="FFFFF3CD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0B2545"/>
      </x:patternFill>
    </x:fill>
    <x:fill>
      <x:patternFill patternType="solid">
        <x:fgColor rgb="FFFFF3CD"/>
      </x:patternFill>
    </x:fill>
    <x:fill>
      <x:patternFill patternType="solid">
        <x:fgColor rgb="FFE8EEF5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0B2545"/>
      </x:patternFill>
    </x:fill>
    <x:fill>
      <x:patternFill patternType="solid">
        <x:fgColor rgb="FFFFF3CD"/>
      </x:patternFill>
    </x:fill>
    <x:fill>
      <x:patternFill patternType="solid">
        <x:fgColor rgb="FFE8EEF5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0B2545"/>
      </x:patternFill>
    </x:fill>
    <x:fill>
      <x:patternFill patternType="solid">
        <x:fgColor rgb="FFFFF3CD"/>
      </x:patternFill>
    </x:fill>
    <x:fill>
      <x:patternFill patternType="solid">
        <x:fgColor rgb="FFE8EEF5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0B2545"/>
      </x:patternFill>
    </x:fill>
    <x:fill>
      <x:patternFill patternType="solid">
        <x:fgColor rgb="FFFFF3CD"/>
      </x:patternFill>
    </x:fill>
    <x:fill>
      <x:patternFill patternType="solid">
        <x:fgColor rgb="FFE8EEF5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  <x:fill>
      <x:patternFill patternType="solid">
        <x:fgColor rgb="FF0B254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9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/>
    </x:xf>
    <x:xf numFmtId="200" fontId="8" fillId="9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7" fillId="13" borderId="0" xfId="0" applyNumberFormat="1" applyFont="1" applyFill="1" applyBorder="1" applyAlignment="1">
      <x:alignment horizontal="center"/>
    </x:xf>
    <x:xf numFmtId="200" fontId="8" fillId="13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200" fontId="7" fillId="13" borderId="0" xfId="0" applyNumberFormat="1" applyFont="1" applyFill="1" applyBorder="1" applyAlignment="1">
      <x:alignment horizontal="center"/>
    </x:xf>
    <x:xf numFmtId="0" fontId="7" fillId="13" borderId="0" xfId="0" applyNumberFormat="1" applyFont="1" applyFill="1" applyBorder="1"/>
    <x:xf numFmtId="200" fontId="7" fillId="14" borderId="0" xfId="0" applyNumberFormat="1" applyFont="1" applyFill="1" applyBorder="1" applyAlignment="1">
      <x:alignment horizontal="center"/>
    </x:xf>
    <x:xf numFmtId="200" fontId="8" fillId="14" borderId="0" xfId="0" applyNumberFormat="1" applyFont="1" applyFill="1" applyBorder="1" applyAlignment="1">
      <x:alignment horizontal="center"/>
    </x:xf>
    <x:xf numFmtId="0" fontId="7" fillId="14" borderId="0" xfId="0" applyNumberFormat="1" applyFont="1" applyFill="1" applyBorder="1" applyAlignment="1">
      <x:alignment horizontal="center"/>
    </x:xf>
    <x:xf numFmtId="0" fontId="8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top" wrapText="1"/>
    </x:xf>
    <x:xf numFmtId="0" fontId="3" fillId="18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7" fillId="19" borderId="0" xfId="0" applyNumberFormat="1" applyFont="1" applyFill="1" applyBorder="1" applyAlignment="1">
      <x:alignment horizontal="center"/>
    </x:xf>
    <x:xf numFmtId="200" fontId="8" fillId="19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200" fontId="7" fillId="19" borderId="0" xfId="0" applyNumberFormat="1" applyFont="1" applyFill="1" applyBorder="1" applyAlignment="1">
      <x:alignment horizontal="center"/>
    </x:xf>
    <x:xf numFmtId="0" fontId="7" fillId="19" borderId="0" xfId="0" applyNumberFormat="1" applyFont="1" applyFill="1" applyBorder="1"/>
    <x:xf numFmtId="200" fontId="7" fillId="20" borderId="0" xfId="0" applyNumberFormat="1" applyFont="1" applyFill="1" applyBorder="1" applyAlignment="1">
      <x:alignment horizontal="center"/>
    </x:xf>
    <x:xf numFmtId="200" fontId="8" fillId="20" borderId="0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vertical="center"/>
    </x:xf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1" fillId="23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wrapText="1"/>
    </x:xf>
    <x:xf numFmtId="0" fontId="7" fillId="25" borderId="0" xfId="0" applyNumberFormat="1" applyFont="1" applyFill="1" applyBorder="1" applyAlignment="1">
      <x:alignment horizontal="center"/>
    </x:xf>
    <x:xf numFmtId="200" fontId="8" fillId="25" borderId="0" xfId="0" applyNumberFormat="1" applyFont="1" applyFill="1" applyBorder="1" applyAlignment="1">
      <x:alignment horizontal="center"/>
    </x:xf>
    <x:xf numFmtId="200" fontId="7" fillId="25" borderId="0" xfId="0" applyNumberFormat="1" applyFont="1" applyFill="1" applyBorder="1" applyAlignment="1">
      <x:alignment horizontal="center"/>
    </x:xf>
    <x:xf numFmtId="200" fontId="7" fillId="26" borderId="0" xfId="0" applyNumberFormat="1" applyFont="1" applyFill="1" applyBorder="1" applyAlignment="1">
      <x:alignment horizontal="center"/>
    </x:xf>
    <x:xf numFmtId="0" fontId="7" fillId="26" borderId="0" xfId="0" applyNumberFormat="1" applyFont="1" applyFill="1" applyBorder="1" applyAlignment="1">
      <x:alignment horizontal="center"/>
    </x:xf>
    <x:xf numFmtId="200" fontId="8" fillId="26" borderId="0" xfId="0" applyNumberFormat="1" applyFont="1" applyFill="1" applyBorder="1" applyAlignment="1">
      <x:alignment horizontal="center"/>
    </x:xf>
    <x:xf numFmtId="0" fontId="8" fillId="26" borderId="0" xfId="0" applyNumberFormat="1" applyFont="1" applyFill="1" applyBorder="1" applyAlignment="1">
      <x:alignment horizontal="center"/>
    </x:xf>
    <x:xf numFmtId="0" fontId="0" fillId="27" borderId="0" xfId="0" applyNumberFormat="1" applyFont="1" applyFill="1" applyBorder="1"/>
    <x:xf numFmtId="0" fontId="12" fillId="27" borderId="0" xfId="0" applyNumberFormat="1" applyFont="1" applyFill="1" applyBorder="1"/>
    <x:xf numFmtId="0" fontId="12" fillId="27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wrapText="1"/>
    </x:xf>
    <x:xf numFmtId="0" fontId="1" fillId="27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0" fillId="28" borderId="0" xfId="0" applyNumberFormat="1" applyFont="1" applyFill="1" applyBorder="1"/>
    <x:xf numFmtId="0" fontId="10" fillId="28" borderId="0" xfId="0" applyNumberFormat="1" applyFont="1" applyFill="1" applyBorder="1"/>
    <x:xf numFmtId="0" fontId="10" fillId="28" borderId="0" xfId="0" applyNumberFormat="1" applyFont="1" applyFill="1" applyBorder="1" applyAlignment="1">
      <x:alignment wrapText="1"/>
    </x:xf>
    <x:xf numFmtId="0" fontId="12" fillId="27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7" fillId="25" borderId="0" xfId="0" applyNumberFormat="1" applyFont="1" applyFill="1" applyBorder="1" applyAlignment="1">
      <x:alignment horizontal="center" wrapText="1"/>
    </x:xf>
    <x:xf numFmtId="200" fontId="8" fillId="26" borderId="0" xfId="0" applyNumberFormat="1" applyFont="1" applyFill="1" applyBorder="1" applyAlignment="1">
      <x:alignment horizontal="center" wrapText="1"/>
    </x:xf>
    <x:xf numFmtId="0" fontId="8" fillId="26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 applyAlignment="1">
      <x:alignment vertical="center" wrapText="1"/>
    </x:xf>
    <x:xf numFmtId="0" fontId="3" fillId="29" borderId="0" xfId="0" applyNumberFormat="1" applyFont="1" applyFill="1" applyBorder="1" applyAlignment="1">
      <x:alignment wrapText="1"/>
    </x:xf>
    <x:xf numFmtId="0" fontId="7" fillId="30" borderId="0" xfId="0" applyNumberFormat="1" applyFont="1" applyFill="1" applyBorder="1" applyAlignment="1">
      <x:alignment horizontal="center" wrapText="1"/>
    </x:xf>
    <x:xf numFmtId="200" fontId="8" fillId="30" borderId="0" xfId="0" applyNumberFormat="1" applyFont="1" applyFill="1" applyBorder="1" applyAlignment="1">
      <x:alignment horizontal="center" wrapText="1"/>
    </x:xf>
    <x:xf numFmtId="0" fontId="8" fillId="30" borderId="0" xfId="0" applyNumberFormat="1" applyFont="1" applyFill="1" applyBorder="1" applyAlignment="1">
      <x:alignment horizontal="center" wrapText="1"/>
    </x:xf>
    <x:xf numFmtId="200" fontId="7" fillId="30" borderId="0" xfId="0" applyNumberFormat="1" applyFont="1" applyFill="1" applyBorder="1" applyAlignment="1">
      <x:alignment horizontal="center" wrapText="1"/>
    </x:xf>
    <x:xf numFmtId="200" fontId="7" fillId="31" borderId="0" xfId="0" applyNumberFormat="1" applyFont="1" applyFill="1" applyBorder="1" applyAlignment="1">
      <x:alignment horizontal="center" wrapText="1"/>
    </x:xf>
    <x:xf numFmtId="0" fontId="7" fillId="31" borderId="0" xfId="0" applyNumberFormat="1" applyFont="1" applyFill="1" applyBorder="1" applyAlignment="1">
      <x:alignment horizontal="center" wrapText="1"/>
    </x:xf>
    <x:xf numFmtId="200" fontId="8" fillId="31" borderId="0" xfId="0" applyNumberFormat="1" applyFont="1" applyFill="1" applyBorder="1" applyAlignment="1">
      <x:alignment horizontal="center" wrapText="1"/>
    </x:xf>
    <x:xf numFmtId="0" fontId="8" fillId="31" borderId="0" xfId="0" applyNumberFormat="1" applyFont="1" applyFill="1" applyBorder="1" applyAlignment="1">
      <x:alignment horizontal="center" wrapText="1"/>
    </x:xf>
    <x:xf numFmtId="0" fontId="12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10" fillId="33" borderId="0" xfId="0" applyNumberFormat="1" applyFont="1" applyFill="1" applyBorder="1" applyAlignment="1">
      <x:alignment wrapText="1"/>
    </x:xf>
    <x:xf numFmtId="0" fontId="3" fillId="34" borderId="0" xfId="0" applyNumberFormat="1" applyFont="1" applyFill="1" applyBorder="1" applyAlignment="1">
      <x:alignment wrapText="1"/>
    </x:xf>
    <x:xf numFmtId="0" fontId="7" fillId="35" borderId="0" xfId="0" applyNumberFormat="1" applyFont="1" applyFill="1" applyBorder="1" applyAlignment="1">
      <x:alignment horizontal="center" wrapText="1"/>
    </x:xf>
    <x:xf numFmtId="200" fontId="8" fillId="35" borderId="0" xfId="0" applyNumberFormat="1" applyFont="1" applyFill="1" applyBorder="1" applyAlignment="1">
      <x:alignment horizontal="center" wrapText="1"/>
    </x:xf>
    <x:xf numFmtId="0" fontId="8" fillId="35" borderId="0" xfId="0" applyNumberFormat="1" applyFont="1" applyFill="1" applyBorder="1" applyAlignment="1">
      <x:alignment horizontal="center" wrapText="1"/>
    </x:xf>
    <x:xf numFmtId="200" fontId="7" fillId="35" borderId="0" xfId="0" applyNumberFormat="1" applyFont="1" applyFill="1" applyBorder="1" applyAlignment="1">
      <x:alignment horizontal="center" wrapText="1"/>
    </x:xf>
    <x:xf numFmtId="200" fontId="7" fillId="36" borderId="0" xfId="0" applyNumberFormat="1" applyFont="1" applyFill="1" applyBorder="1" applyAlignment="1">
      <x:alignment horizontal="center" wrapText="1"/>
    </x:xf>
    <x:xf numFmtId="0" fontId="7" fillId="36" borderId="0" xfId="0" applyNumberFormat="1" applyFont="1" applyFill="1" applyBorder="1" applyAlignment="1">
      <x:alignment horizontal="center" wrapText="1"/>
    </x:xf>
    <x:xf numFmtId="200" fontId="8" fillId="36" borderId="0" xfId="0" applyNumberFormat="1" applyFont="1" applyFill="1" applyBorder="1" applyAlignment="1">
      <x:alignment horizontal="center" wrapText="1"/>
    </x:xf>
    <x:xf numFmtId="0" fontId="8" fillId="36" borderId="0" xfId="0" applyNumberFormat="1" applyFont="1" applyFill="1" applyBorder="1" applyAlignment="1">
      <x:alignment horizontal="center" wrapText="1"/>
    </x:xf>
    <x:xf numFmtId="0" fontId="0" fillId="37" borderId="0" xfId="0" applyNumberFormat="1" applyFont="1" applyFill="1" applyBorder="1"/>
    <x:xf numFmtId="0" fontId="12" fillId="37" borderId="0" xfId="0" applyNumberFormat="1" applyFont="1" applyFill="1" applyBorder="1"/>
    <x:xf numFmtId="0" fontId="12" fillId="37" borderId="0" xfId="0" applyNumberFormat="1" applyFont="1" applyFill="1" applyBorder="1" applyAlignment="1">
      <x:alignment vertical="center"/>
    </x:xf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wrapText="1"/>
    </x:xf>
    <x:xf numFmtId="0" fontId="1" fillId="37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0" fillId="38" borderId="0" xfId="0" applyNumberFormat="1" applyFont="1" applyFill="1" applyBorder="1"/>
    <x:xf numFmtId="0" fontId="10" fillId="38" borderId="0" xfId="0" applyNumberFormat="1" applyFont="1" applyFill="1" applyBorder="1"/>
    <x:xf numFmtId="0" fontId="10" fillId="38" borderId="0" xfId="0" applyNumberFormat="1" applyFont="1" applyFill="1" applyBorder="1" applyAlignment="1">
      <x:alignment wrapText="1"/>
    </x:xf>
    <x:xf numFmtId="0" fontId="12" fillId="37" borderId="0" xfId="0" applyNumberFormat="1" applyFont="1" applyFill="1" applyBorder="1" applyAlignment="1">
      <x:alignment vertical="center" wrapText="1"/>
    </x:xf>
    <x:xf numFmtId="0" fontId="3" fillId="39" borderId="0" xfId="0" applyNumberFormat="1" applyFont="1" applyFill="1" applyBorder="1" applyAlignment="1">
      <x:alignment wrapText="1"/>
    </x:xf>
    <x:xf numFmtId="0" fontId="7" fillId="40" borderId="0" xfId="0" applyNumberFormat="1" applyFont="1" applyFill="1" applyBorder="1" applyAlignment="1">
      <x:alignment horizontal="center" wrapText="1"/>
    </x:xf>
    <x:xf numFmtId="200" fontId="8" fillId="40" borderId="0" xfId="0" applyNumberFormat="1" applyFont="1" applyFill="1" applyBorder="1" applyAlignment="1">
      <x:alignment horizontal="center" wrapText="1"/>
    </x:xf>
    <x:xf numFmtId="0" fontId="8" fillId="40" borderId="0" xfId="0" applyNumberFormat="1" applyFont="1" applyFill="1" applyBorder="1" applyAlignment="1">
      <x:alignment horizontal="center" wrapText="1"/>
    </x:xf>
    <x:xf numFmtId="200" fontId="7" fillId="40" borderId="0" xfId="0" applyNumberFormat="1" applyFont="1" applyFill="1" applyBorder="1" applyAlignment="1">
      <x:alignment horizontal="center" wrapText="1"/>
    </x:xf>
    <x:xf numFmtId="200" fontId="7" fillId="41" borderId="0" xfId="0" applyNumberFormat="1" applyFont="1" applyFill="1" applyBorder="1" applyAlignment="1">
      <x:alignment horizontal="center" wrapText="1"/>
    </x:xf>
    <x:xf numFmtId="0" fontId="7" fillId="41" borderId="0" xfId="0" applyNumberFormat="1" applyFont="1" applyFill="1" applyBorder="1" applyAlignment="1">
      <x:alignment horizontal="center" wrapText="1"/>
    </x:xf>
    <x:xf numFmtId="200" fontId="8" fillId="41" borderId="0" xfId="0" applyNumberFormat="1" applyFont="1" applyFill="1" applyBorder="1" applyAlignment="1">
      <x:alignment horizontal="center" wrapText="1"/>
    </x:xf>
    <x:xf numFmtId="0" fontId="8" fillId="41" borderId="0" xfId="0" applyNumberFormat="1" applyFont="1" applyFill="1" applyBorder="1" applyAlignment="1">
      <x:alignment horizontal="center" wrapText="1"/>
    </x:xf>
    <x:xf numFmtId="0" fontId="0" fillId="42" borderId="0" xfId="0" applyNumberFormat="1" applyFont="1" applyFill="1" applyBorder="1"/>
    <x:xf numFmtId="0" fontId="12" fillId="42" borderId="0" xfId="0" applyNumberFormat="1" applyFont="1" applyFill="1" applyBorder="1"/>
    <x:xf numFmtId="0" fontId="12" fillId="42" borderId="0" xfId="0" applyNumberFormat="1" applyFont="1" applyFill="1" applyBorder="1" applyAlignment="1">
      <x:alignment vertical="center"/>
    </x:xf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wrapText="1"/>
    </x:xf>
    <x:xf numFmtId="0" fontId="1" fillId="42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0" fillId="43" borderId="0" xfId="0" applyNumberFormat="1" applyFont="1" applyFill="1" applyBorder="1"/>
    <x:xf numFmtId="0" fontId="10" fillId="43" borderId="0" xfId="0" applyNumberFormat="1" applyFont="1" applyFill="1" applyBorder="1"/>
    <x:xf numFmtId="0" fontId="10" fillId="43" borderId="0" xfId="0" applyNumberFormat="1" applyFont="1" applyFill="1" applyBorder="1" applyAlignment="1">
      <x:alignment wrapText="1"/>
    </x:xf>
    <x:xf numFmtId="0" fontId="12" fillId="42" borderId="0" xfId="0" applyNumberFormat="1" applyFont="1" applyFill="1" applyBorder="1" applyAlignment="1">
      <x:alignment vertical="center" wrapText="1"/>
    </x:xf>
    <x:xf numFmtId="0" fontId="3" fillId="44" borderId="0" xfId="0" applyNumberFormat="1" applyFont="1" applyFill="1" applyBorder="1" applyAlignment="1">
      <x:alignment wrapText="1"/>
    </x:xf>
    <x:xf numFmtId="0" fontId="7" fillId="45" borderId="0" xfId="0" applyNumberFormat="1" applyFont="1" applyFill="1" applyBorder="1" applyAlignment="1">
      <x:alignment horizontal="center" wrapText="1"/>
    </x:xf>
    <x:xf numFmtId="200" fontId="8" fillId="45" borderId="0" xfId="0" applyNumberFormat="1" applyFont="1" applyFill="1" applyBorder="1" applyAlignment="1">
      <x:alignment horizontal="center" wrapText="1"/>
    </x:xf>
    <x:xf numFmtId="0" fontId="8" fillId="45" borderId="0" xfId="0" applyNumberFormat="1" applyFont="1" applyFill="1" applyBorder="1" applyAlignment="1">
      <x:alignment horizontal="center" wrapText="1"/>
    </x:xf>
    <x:xf numFmtId="200" fontId="7" fillId="45" borderId="0" xfId="0" applyNumberFormat="1" applyFont="1" applyFill="1" applyBorder="1" applyAlignment="1">
      <x:alignment horizontal="center" wrapText="1"/>
    </x:xf>
    <x:xf numFmtId="200" fontId="7" fillId="46" borderId="0" xfId="0" applyNumberFormat="1" applyFont="1" applyFill="1" applyBorder="1" applyAlignment="1">
      <x:alignment horizontal="center" wrapText="1"/>
    </x:xf>
    <x:xf numFmtId="0" fontId="7" fillId="46" borderId="0" xfId="0" applyNumberFormat="1" applyFont="1" applyFill="1" applyBorder="1" applyAlignment="1">
      <x:alignment horizontal="center" wrapText="1"/>
    </x:xf>
    <x:xf numFmtId="200" fontId="8" fillId="46" borderId="0" xfId="0" applyNumberFormat="1" applyFont="1" applyFill="1" applyBorder="1" applyAlignment="1">
      <x:alignment horizontal="center" wrapText="1"/>
    </x:xf>
    <x:xf numFmtId="0" fontId="8" fillId="46" borderId="0" xfId="0" applyNumberFormat="1" applyFont="1" applyFill="1" applyBorder="1" applyAlignment="1">
      <x:alignment horizontal="center" wrapText="1"/>
    </x:xf>
    <x:xf numFmtId="0" fontId="12" fillId="47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10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12" fillId="47" borderId="0" xfId="0" applyNumberFormat="1" applyFont="1" applyFill="1" applyBorder="1"/>
    <x:xf numFmtId="0" fontId="12" fillId="47" borderId="0" xfId="0" applyNumberFormat="1" applyFont="1" applyFill="1" applyBorder="1" applyAlignment="1">
      <x:alignment vertical="center"/>
    </x:xf>
    <x:xf numFmtId="0" fontId="1" fillId="47" borderId="0" xfId="0" applyNumberFormat="1" applyFont="1" applyFill="1" applyBorder="1"/>
    <x:xf numFmtId="0" fontId="1" fillId="47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0" fillId="48" borderId="0" xfId="0" applyNumberFormat="1" applyFont="1" applyFill="1" applyBorder="1"/>
    <x:xf numFmtId="0" fontId="10" fillId="4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b9a6311164fcf" /><Relationship Type="http://schemas.openxmlformats.org/officeDocument/2006/relationships/theme" Target="/xl/theme/theme1.xml" Id="R38474659a4d4406a" /><Relationship Type="http://schemas.openxmlformats.org/officeDocument/2006/relationships/sharedStrings" Target="/xl/sharedStrings.xml" Id="R047326961fee4445" /><Relationship Type="http://schemas.openxmlformats.org/officeDocument/2006/relationships/worksheet" Target="/xl/worksheets/sheet1.xml" Id="R4e8c1031d83a4e6e" /><Relationship Type="http://schemas.openxmlformats.org/officeDocument/2006/relationships/worksheet" Target="/xl/worksheets/sheet2.xml" Id="Rea6acd89ac8d4199" /><Relationship Type="http://schemas.openxmlformats.org/officeDocument/2006/relationships/worksheet" Target="/xl/worksheets/sheet3.xml" Id="R0d91200dfdda4b1a" /><Relationship Type="http://schemas.openxmlformats.org/officeDocument/2006/relationships/worksheet" Target="/xl/worksheets/sheet4.xml" Id="R52941a03a21d4654" /><Relationship Type="http://schemas.openxmlformats.org/officeDocument/2006/relationships/worksheet" Target="/xl/worksheets/sheet5.xml" Id="R1ccb3fd5be264cc6" /><Relationship Type="http://schemas.openxmlformats.org/officeDocument/2006/relationships/worksheet" Target="/xl/worksheets/sheet6.xml" Id="Rdca4cd67c09043b3" /><Relationship Type="http://schemas.openxmlformats.org/officeDocument/2006/relationships/worksheet" Target="/xl/worksheets/sheet7.xml" Id="Rb918bfe9e197486a" /><Relationship Type="http://schemas.openxmlformats.org/officeDocument/2006/relationships/worksheet" Target="/xl/worksheets/sheet8.xml" Id="Raf1206985c9b4f4d" /><Relationship Type="http://schemas.openxmlformats.org/officeDocument/2006/relationships/worksheet" Target="/xl/worksheets/sheet9.xml" Id="Rdc364c1fecbd413e" /><Relationship Type="http://schemas.openxmlformats.org/officeDocument/2006/relationships/worksheet" Target="/xl/worksheets/sheet10.xml" Id="R22f0cee66e7d495d" /><Relationship Type="http://schemas.openxmlformats.org/officeDocument/2006/relationships/worksheet" Target="/xl/worksheets/sheet11.xml" Id="R5c656f2f0e2344db" /><Relationship Type="http://schemas.openxmlformats.org/officeDocument/2006/relationships/worksheet" Target="/xl/worksheets/sheet12.xml" Id="Rcad062a426a94c6d" /><Relationship Type="http://schemas.openxmlformats.org/officeDocument/2006/relationships/worksheet" Target="/xl/worksheets/sheet13.xml" Id="R320cefa9dcc340c5" /><Relationship Type="http://schemas.openxmlformats.org/officeDocument/2006/relationships/worksheet" Target="/xl/worksheets/sheet14.xml" Id="R9ac6fb7054e347d1" /><Relationship Type="http://schemas.openxmlformats.org/officeDocument/2006/relationships/worksheet" Target="/xl/worksheets/sheet15.xml" Id="Rc39c65e90d524ab4" /><Relationship Type="http://schemas.openxmlformats.org/officeDocument/2006/relationships/worksheet" Target="/xl/worksheets/sheet16.xml" Id="R95a45d745a0b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15" t="str">
        <x:v>Happy / Architecture AI — Control Maestro | Final Seed Closure</x:v>
      </x:c>
      <x:c r="B1" s="115"/>
      <x:c r="C1" s="115"/>
      <x:c r="D1" s="115"/>
      <x:c r="E1" s="115"/>
      <x:c r="F1" s="115"/>
      <x:c r="G1" s="115"/>
      <x:c r="H1" s="115"/>
    </x:row>
    <x:row r="2">
      <x:c r="A2" s="115"/>
      <x:c r="B2" s="115"/>
      <x:c r="C2" s="115"/>
      <x:c r="D2" s="115"/>
      <x:c r="E2" s="115"/>
      <x:c r="F2" s="115"/>
      <x:c r="G2" s="115"/>
      <x:c r="H2" s="115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5" t="str">
        <x:v>Metric</x:v>
      </x:c>
      <x:c r="B4" s="5" t="str">
        <x:v>Value</x:v>
      </x:c>
      <x:c r="C4" s="1"/>
      <x:c r="D4" s="5" t="str">
        <x:v>Current control rules</x:v>
      </x:c>
      <x:c r="E4" s="5"/>
      <x:c r="F4" s="5"/>
      <x:c r="G4" s="5"/>
      <x:c r="H4" s="5"/>
    </x:row>
    <x:row r="5">
      <x:c r="A5" s="116" t="str">
        <x:v>Documents</x:v>
      </x:c>
      <x:c r="B5" s="117" t="n">
        <x:f>COUNTA('Documents'!A2:A200)</x:f>
        <x:v>140</x:v>
      </x:c>
      <x:c r="C5" s="1"/>
      <x:c r="D5" s="15" t="str">
        <x:v>1. Seed 1.0.0-rc1 is HANDOFF_READY and PREPARED_NOT_DELIVERED.</x:v>
      </x:c>
      <x:c r="E5" s="15"/>
      <x:c r="F5" s="15"/>
      <x:c r="G5" s="15"/>
      <x:c r="H5" s="15"/>
    </x:row>
    <x:row r="6">
      <x:c r="A6" s="116" t="str">
        <x:v>Documents approved</x:v>
      </x:c>
      <x:c r="B6" s="117" t="n">
        <x:f>COUNTIF('Documents'!F2:F200,"APPROVED")</x:f>
        <x:v>0</x:v>
      </x:c>
      <x:c r="C6" s="1"/>
      <x:c r="D6" s="15" t="str">
        <x:v>2. Build baseline remains FALSE until SER-002/003/006 receipts exist on the real environment.</x:v>
      </x:c>
      <x:c r="E6" s="15"/>
      <x:c r="F6" s="15"/>
      <x:c r="G6" s="15"/>
      <x:c r="H6" s="15"/>
    </x:row>
    <x:row r="7">
      <x:c r="A7" s="116" t="str">
        <x:v>Prepared not delivered</x:v>
      </x:c>
      <x:c r="B7" s="117" t="n">
        <x:f>COUNTIF('Documents'!G2:G200,"PREPARED_NOT_DELIVERED")</x:f>
        <x:v>127</x:v>
      </x:c>
      <x:c r="C7" s="1"/>
      <x:c r="D7" s="15" t="str">
        <x:v>3. Gate factual states are preserved; execution-only gates are explicitly deferred, not silently passed.</x:v>
      </x:c>
      <x:c r="E7" s="15"/>
      <x:c r="F7" s="15"/>
      <x:c r="G7" s="15"/>
      <x:c r="H7" s="15"/>
    </x:row>
    <x:row r="8">
      <x:c r="A8" s="116" t="str">
        <x:v>Sources</x:v>
      </x:c>
      <x:c r="B8" s="117" t="n">
        <x:f>COUNTA('Sources'!A2:A200)</x:f>
        <x:v>55</x:v>
      </x:c>
      <x:c r="C8" s="1"/>
      <x:c r="D8" s="15" t="str">
        <x:v>4. Bootstrap produces repository, baseline, build/runtime and aggregate receipts with same-commit disclosure.</x:v>
      </x:c>
      <x:c r="E8" s="15"/>
      <x:c r="F8" s="15"/>
      <x:c r="G8" s="15"/>
      <x:c r="H8" s="15"/>
    </x:row>
    <x:row r="9">
      <x:c r="A9" s="116" t="str">
        <x:v>Evidence items</x:v>
      </x:c>
      <x:c r="B9" s="117" t="n">
        <x:f>COUNTA('Evidence'!A2:A500)</x:f>
        <x:v>100</x:v>
      </x:c>
      <x:c r="C9" s="1"/>
      <x:c r="D9" s="15" t="str">
        <x:v>5. Known intent is sufficient for handoff; project-wide completeness remains unprovable for unobserved sources.</x:v>
      </x:c>
      <x:c r="E9" s="15"/>
      <x:c r="F9" s="15"/>
      <x:c r="G9" s="15"/>
      <x:c r="H9" s="15"/>
    </x:row>
    <x:row r="10">
      <x:c r="A10" s="116" t="str">
        <x:v>Decisions requiring action</x:v>
      </x:c>
      <x:c r="B10" s="117" t="n">
        <x:f>COUNTIF('Decisions'!D2:D200,"OPEN")+COUNTIF('Decisions'!D2:D200,"REQUIRES_VALIDATION")+COUNTIF('Decisions'!D2:D200,"PROPOSED")</x:f>
        <x:v>3</x:v>
      </x:c>
      <x:c r="C10" s="1"/>
      <x:c r="D10" s="15" t="str">
        <x:v>6. Work compilation stops; next action is delivery followed by Devin root bootstrap, not another wave.</x:v>
      </x:c>
      <x:c r="E10" s="15"/>
      <x:c r="F10" s="15"/>
      <x:c r="G10" s="15"/>
      <x:c r="H10" s="15"/>
    </x:row>
    <x:row r="11">
      <x:c r="A11" s="116" t="str">
        <x:v>Planned diagrams</x:v>
      </x:c>
      <x:c r="B11" s="117" t="n">
        <x:f>COUNTIF('Diagrams'!E2:E200,"PLANNED")</x:f>
        <x:v>20</x:v>
      </x:c>
      <x:c r="C11" s="1"/>
      <x:c r="D11" s="5" t="str">
        <x:v>Known delivery status</x:v>
      </x:c>
      <x:c r="E11" s="5"/>
      <x:c r="F11" s="5"/>
      <x:c r="G11" s="5"/>
      <x:c r="H11" s="5"/>
    </x:row>
    <x:row r="12">
      <x:c r="A12" s="116" t="str">
        <x:v>Open issues</x:v>
      </x:c>
      <x:c r="B12" s="117" t="n">
        <x:f>COUNTIF('Issues'!E2:E200,"OPEN")</x:f>
        <x:v>51</x:v>
      </x:c>
      <x:c r="C12" s="1"/>
      <x:c r="D12" s="17" t="str">
        <x:v>Devin Prompt 00 — EXECUTED (historically confirmed)</x:v>
      </x:c>
      <x:c r="E12" s="17"/>
      <x:c r="F12" s="17"/>
      <x:c r="G12" s="17"/>
      <x:c r="H12" s="17"/>
    </x:row>
    <x:row r="13">
      <x:c r="A13" s="178" t="str">
        <x:v>HAPPY_HANDOFF_READY</x:v>
      </x:c>
      <x:c r="B13" s="186" t="str">
        <x:v>TRUE</x:v>
      </x:c>
      <x:c r="C13" s="1"/>
      <x:c r="D13" s="17" t="str">
        <x:v>Devin Prompt 01 — RESULT_RECEIVED (not verified)</x:v>
      </x:c>
      <x:c r="E13" s="17"/>
      <x:c r="F13" s="17"/>
      <x:c r="G13" s="17"/>
      <x:c r="H13" s="17"/>
    </x:row>
    <x:row r="14">
      <x:c r="A14" s="178" t="str">
        <x:v>BUILD BASELINE READY</x:v>
      </x:c>
      <x:c r="B14" s="182" t="str">
        <x:v>FALSE</x:v>
      </x:c>
      <x:c r="C14" s="1"/>
      <x:c r="D14" s="17" t="str">
        <x:v>Next Devin sequence — PROMPT_SEQUENCE_UNRESOLVED</x:v>
      </x:c>
      <x:c r="E14" s="17"/>
      <x:c r="F14" s="17"/>
      <x:c r="G14" s="17"/>
      <x:c r="H14" s="17"/>
    </x:row>
    <x:row r="15">
      <x:c r="A15" s="178" t="str">
        <x:v>Open/partial SERs</x:v>
      </x:c>
      <x:c r="B15" s="186" t="n">
        <x:v>14</x:v>
      </x:c>
      <x:c r="C15" s="1"/>
      <x:c r="D15" s="17" t="str">
        <x:v>P-SEED-CLOSE-01 — RECONCILED IN WORK</x:v>
      </x:c>
      <x:c r="E15" s="17"/>
      <x:c r="F15" s="17"/>
      <x:c r="G15" s="17"/>
      <x:c r="H15" s="17"/>
    </x:row>
    <x:row r="16">
      <x:c r="A16" s="178" t="str">
        <x:v>Open Research Obligations</x:v>
      </x:c>
      <x:c r="B16" s="186" t="n">
        <x:v>25</x:v>
      </x:c>
      <x:c r="C16" s="1"/>
      <x:c r="D16" s="17" t="str">
        <x:v>Delivery — PREPARED_NOT_DELIVERED</x:v>
      </x:c>
      <x:c r="E16" s="17"/>
      <x:c r="F16" s="17"/>
      <x:c r="G16" s="17"/>
      <x:c r="H16" s="17"/>
    </x:row>
    <x:row r="17">
      <x:c r="A17" s="178" t="str">
        <x:v>Final Seed version</x:v>
      </x:c>
      <x:c r="B17" s="185" t="str">
        <x:v>1.0.0-rc1</x:v>
      </x:c>
      <x:c r="C17" s="1"/>
      <x:c r="D17" s="17" t="str">
        <x:v>HAPPY_HANDOFF_READY — TRUE</x:v>
      </x:c>
      <x:c r="E17" s="17"/>
      <x:c r="F17" s="17"/>
      <x:c r="G17" s="17"/>
      <x:c r="H17" s="17"/>
    </x:row>
    <x:row r="18">
      <x:c r="A18" s="178" t="str">
        <x:v>G11 local integrity</x:v>
      </x:c>
      <x:c r="B18" s="186" t="str">
        <x:v>PASS_LOCAL</x:v>
      </x:c>
      <x:c r="C18" s="1"/>
      <x:c r="D18" s="1" t="str"/>
      <x:c r="E18" s="1"/>
      <x:c r="F18" s="1"/>
      <x:c r="G18" s="1"/>
      <x:c r="H18" s="1"/>
    </x:row>
  </x:sheetData>
  <x:mergeCells>
    <x:mergeCell ref="A1:H2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5" hidden="0" customWidth="1"/>
    <x:col min="3" max="3" width="20" hidden="0" customWidth="1"/>
    <x:col min="4" max="4" width="20" hidden="0" customWidth="1"/>
    <x:col min="5" max="5" width="23" hidden="0" customWidth="1"/>
    <x:col min="6" max="6" width="22" hidden="0" customWidth="1"/>
    <x:col min="7" max="7" width="31" hidden="0" customWidth="1"/>
    <x:col min="8" max="8" width="18" hidden="0" customWidth="1"/>
    <x:col min="9" max="9" width="30" hidden="0" customWidth="1"/>
    <x:col min="10" max="10" width="30" hidden="0" customWidth="1"/>
    <x:col min="11" max="11" width="30" hidden="0" customWidth="1"/>
    <x:col min="12" max="12" width="34" hidden="0" customWidth="1"/>
  </x:cols>
  <x:sheetData>
    <x:row r="1">
      <x:c r="A1" s="5" t="str">
        <x:v>Document ID</x:v>
      </x:c>
      <x:c r="B1" s="5" t="str">
        <x:v>Title</x:v>
      </x:c>
      <x:c r="C1" s="5" t="str">
        <x:v>Domain</x:v>
      </x:c>
      <x:c r="D1" s="5" t="str">
        <x:v>Type</x:v>
      </x:c>
      <x:c r="E1" s="5" t="str">
        <x:v>Version</x:v>
      </x:c>
      <x:c r="F1" s="5" t="str">
        <x:v>Content status</x:v>
      </x:c>
      <x:c r="G1" s="5" t="str">
        <x:v>Devin status</x:v>
      </x:c>
      <x:c r="H1" s="5" t="str">
        <x:v>Owner</x:v>
      </x:c>
      <x:c r="I1" s="5" t="str">
        <x:v>Source IDs</x:v>
      </x:c>
      <x:c r="J1" s="5" t="str">
        <x:v>Decision IDs</x:v>
      </x:c>
      <x:c r="K1" s="5" t="str">
        <x:v>Diagram IDs</x:v>
      </x:c>
      <x:c r="L1" s="5" t="str">
        <x:v>Notes</x:v>
      </x:c>
    </x:row>
    <x:row r="2">
      <x:c r="A2" s="18" t="str">
        <x:v>AAI-DOC-0001</x:v>
      </x:c>
      <x:c r="B2" s="18" t="str">
        <x:v>Política de control documental</x:v>
      </x:c>
      <x:c r="C2" s="18" t="str">
        <x:v>Governance</x:v>
      </x:c>
      <x:c r="D2" s="18" t="str">
        <x:v>Policy</x:v>
      </x:c>
      <x:c r="E2" s="18" t="str">
        <x:v>0.1.0-draft</x:v>
      </x:c>
      <x:c r="F2" s="18" t="str">
        <x:v>DRAFT</x:v>
      </x:c>
      <x:c r="G2" s="18" t="str">
        <x:v>NOT_PLANNED</x:v>
      </x:c>
      <x:c r="H2" s="18" t="str">
        <x:v>Architecture</x:v>
      </x:c>
      <x:c r="I2" s="18" t="str">
        <x:v>AAI-SRC-0001</x:v>
      </x:c>
      <x:c r="J2" s="18" t="str"/>
      <x:c r="K2" s="18" t="str"/>
      <x:c r="L2" s="18" t="str">
        <x:v>Oleada 0</x:v>
      </x:c>
    </x:row>
    <x:row r="3">
      <x:c r="A3" s="18" t="str">
        <x:v>AAI-DOC-0002</x:v>
      </x:c>
      <x:c r="B3" s="18" t="str">
        <x:v>Master Document Register</x:v>
      </x:c>
      <x:c r="C3" s="18" t="str">
        <x:v>Governance</x:v>
      </x:c>
      <x:c r="D3" s="18" t="str">
        <x:v>Register</x:v>
      </x:c>
      <x:c r="E3" s="18" t="str">
        <x:v>0.1.0-draft</x:v>
      </x:c>
      <x:c r="F3" s="18" t="str">
        <x:v>DRAFT</x:v>
      </x:c>
      <x:c r="G3" s="18" t="str">
        <x:v>NOT_PLANNED</x:v>
      </x:c>
      <x:c r="H3" s="18" t="str">
        <x:v>Architecture</x:v>
      </x:c>
      <x:c r="I3" s="18" t="str"/>
      <x:c r="J3" s="18" t="str"/>
      <x:c r="K3" s="18" t="str"/>
      <x:c r="L3" s="18" t="str">
        <x:v>Este libro</x:v>
      </x:c>
    </x:row>
    <x:row r="4">
      <x:c r="A4" s="18" t="str">
        <x:v>AAI-DOC-0003</x:v>
      </x:c>
      <x:c r="B4" s="18" t="str">
        <x:v>Registro de fuentes y evidencias</x:v>
      </x:c>
      <x:c r="C4" s="18" t="str">
        <x:v>Governance</x:v>
      </x:c>
      <x:c r="D4" s="18" t="str">
        <x:v>Register</x:v>
      </x:c>
      <x:c r="E4" s="18" t="str">
        <x:v>0.1.0-draft</x:v>
      </x:c>
      <x:c r="F4" s="18" t="str">
        <x:v>DRAFT</x:v>
      </x:c>
      <x:c r="G4" s="18" t="str">
        <x:v>NOT_PLANNED</x:v>
      </x:c>
      <x:c r="H4" s="18" t="str">
        <x:v>Architecture</x:v>
      </x:c>
      <x:c r="I4" s="18" t="str"/>
      <x:c r="J4" s="18" t="str"/>
      <x:c r="K4" s="18" t="str"/>
      <x:c r="L4" s="18" t="str">
        <x:v>Oleada 0</x:v>
      </x:c>
    </x:row>
    <x:row r="5">
      <x:c r="A5" s="18" t="str">
        <x:v>AAI-DOC-0004</x:v>
      </x:c>
      <x:c r="B5" s="18" t="str">
        <x:v>Registro de decisiones y ADR</x:v>
      </x:c>
      <x:c r="C5" s="18" t="str">
        <x:v>Governance</x:v>
      </x:c>
      <x:c r="D5" s="18" t="str">
        <x:v>Register</x:v>
      </x:c>
      <x:c r="E5" s="18" t="str">
        <x:v>0.1.0-draft</x:v>
      </x:c>
      <x:c r="F5" s="18" t="str">
        <x:v>DRAFT</x:v>
      </x:c>
      <x:c r="G5" s="18" t="str">
        <x:v>NOT_PLANNED</x:v>
      </x:c>
      <x:c r="H5" s="18" t="str">
        <x:v>Architecture</x:v>
      </x:c>
      <x:c r="I5" s="18" t="str"/>
      <x:c r="J5" s="18" t="str"/>
      <x:c r="K5" s="18" t="str"/>
      <x:c r="L5" s="18" t="str">
        <x:v>Oleada 0</x:v>
      </x:c>
    </x:row>
    <x:row r="6">
      <x:c r="A6" s="18" t="str">
        <x:v>AAI-DOC-0005</x:v>
      </x:c>
      <x:c r="B6" s="18" t="str">
        <x:v>Prompt and Devin Delivery Ledger</x:v>
      </x:c>
      <x:c r="C6" s="18" t="str">
        <x:v>Governance</x:v>
      </x:c>
      <x:c r="D6" s="18" t="str">
        <x:v>Register</x:v>
      </x:c>
      <x:c r="E6" s="18" t="str">
        <x:v>0.1.0-draft</x:v>
      </x:c>
      <x:c r="F6" s="18" t="str">
        <x:v>DRAFT</x:v>
      </x:c>
      <x:c r="G6" s="18" t="str">
        <x:v>NOT_PLANNED</x:v>
      </x:c>
      <x:c r="H6" s="18" t="str">
        <x:v>Architecture</x:v>
      </x:c>
      <x:c r="I6" s="18" t="str">
        <x:v>AAI-SRC-0006; AAI-SRC-0007</x:v>
      </x:c>
      <x:c r="J6" s="18" t="str"/>
      <x:c r="K6" s="18" t="str"/>
      <x:c r="L6" s="18" t="str">
        <x:v>Oleada 0</x:v>
      </x:c>
    </x:row>
    <x:row r="7">
      <x:c r="A7" s="18" t="str">
        <x:v>AAI-DOC-0006</x:v>
      </x:c>
      <x:c r="B7" s="18" t="str">
        <x:v>Registro de diagramas</x:v>
      </x:c>
      <x:c r="C7" s="18" t="str">
        <x:v>Governance</x:v>
      </x:c>
      <x:c r="D7" s="18" t="str">
        <x:v>Register</x:v>
      </x:c>
      <x:c r="E7" s="18" t="str">
        <x:v>0.1.0-draft</x:v>
      </x:c>
      <x:c r="F7" s="18" t="str">
        <x:v>DRAFT</x:v>
      </x:c>
      <x:c r="G7" s="18" t="str">
        <x:v>NOT_PLANNED</x:v>
      </x:c>
      <x:c r="H7" s="18" t="str">
        <x:v>Architecture</x:v>
      </x:c>
      <x:c r="I7" s="18" t="str"/>
      <x:c r="J7" s="18" t="str"/>
      <x:c r="K7" s="18" t="str"/>
      <x:c r="L7" s="18" t="str">
        <x:v>Oleada 0</x:v>
      </x:c>
    </x:row>
    <x:row r="8">
      <x:c r="A8" s="18" t="str">
        <x:v>AAI-DOC-0007</x:v>
      </x:c>
      <x:c r="B8" s="18" t="str">
        <x:v>Glosario y vocabulario controlado</x:v>
      </x:c>
      <x:c r="C8" s="18" t="str">
        <x:v>Governance</x:v>
      </x:c>
      <x:c r="D8" s="18" t="str">
        <x:v>Glossary</x:v>
      </x:c>
      <x:c r="E8" s="18" t="str">
        <x:v>0.1.0-draft</x:v>
      </x:c>
      <x:c r="F8" s="18" t="str">
        <x:v>DRAFT</x:v>
      </x:c>
      <x:c r="G8" s="18" t="str">
        <x:v>NOT_PLANNED</x:v>
      </x:c>
      <x:c r="H8" s="18" t="str">
        <x:v>Architecture</x:v>
      </x:c>
      <x:c r="I8" s="18" t="str"/>
      <x:c r="J8" s="18" t="str"/>
      <x:c r="K8" s="18" t="str"/>
      <x:c r="L8" s="18" t="str">
        <x:v>Oleada 0</x:v>
      </x:c>
    </x:row>
    <x:row r="9">
      <x:c r="A9" s="18" t="str">
        <x:v>AAI-DOC-0008</x:v>
      </x:c>
      <x:c r="B9" s="18" t="str">
        <x:v>Registro de conflictos y preguntas</x:v>
      </x:c>
      <x:c r="C9" s="18" t="str">
        <x:v>Governance</x:v>
      </x:c>
      <x:c r="D9" s="18" t="str">
        <x:v>Register</x:v>
      </x:c>
      <x:c r="E9" s="18" t="str">
        <x:v>0.1.0-draft</x:v>
      </x:c>
      <x:c r="F9" s="18" t="str">
        <x:v>DRAFT</x:v>
      </x:c>
      <x:c r="G9" s="18" t="str">
        <x:v>NOT_PLANNED</x:v>
      </x:c>
      <x:c r="H9" s="18" t="str">
        <x:v>Architecture</x:v>
      </x:c>
      <x:c r="I9" s="18" t="str"/>
      <x:c r="J9" s="18" t="str"/>
      <x:c r="K9" s="18" t="str"/>
      <x:c r="L9" s="18" t="str">
        <x:v>Oleada 0</x:v>
      </x:c>
    </x:row>
    <x:row r="10">
      <x:c r="A10" s="18" t="str">
        <x:v>AAI-DOC-0101</x:v>
      </x:c>
      <x:c r="B10" s="18" t="str">
        <x:v>Visión y definición de Architecture AI</x:v>
      </x:c>
      <x:c r="C10" s="18" t="str">
        <x:v>Product</x:v>
      </x:c>
      <x:c r="D10" s="18" t="str">
        <x:v>Specification</x:v>
      </x:c>
      <x:c r="E10" s="18" t="str">
        <x:v>0.1.0-draft</x:v>
      </x:c>
      <x:c r="F10" s="18" t="str">
        <x:v>DRAFT</x:v>
      </x:c>
      <x:c r="G10" s="18" t="str">
        <x:v>PREPARED_NOT_DELIVERED</x:v>
      </x:c>
      <x:c r="H10" s="18" t="str">
        <x:v>Architecture</x:v>
      </x:c>
      <x:c r="I10" s="18" t="str">
        <x:v>AAI-SRC-0001; AAI-SRC-0002; AAI-SRC-0014</x:v>
      </x:c>
      <x:c r="J10" s="18" t="str"/>
      <x:c r="K10" s="18" t="str">
        <x:v>AAI-DGM-0001; AAI-DGM-0002</x:v>
      </x:c>
      <x:c r="L10" s="18" t="str">
        <x:v>Oleada 1</x:v>
      </x:c>
    </x:row>
    <x:row r="11">
      <x:c r="A11" s="18" t="str">
        <x:v>AAI-DOC-0102</x:v>
      </x:c>
      <x:c r="B11" s="18" t="str">
        <x:v>Plataforma de arquitectura frente a plataforma bancaria</x:v>
      </x:c>
      <x:c r="C11" s="18" t="str">
        <x:v>Product</x:v>
      </x:c>
      <x:c r="D11" s="18" t="str">
        <x:v>Specification</x:v>
      </x:c>
      <x:c r="E11" s="18" t="str">
        <x:v>0.1.0-draft</x:v>
      </x:c>
      <x:c r="F11" s="18" t="str">
        <x:v>DRAFT</x:v>
      </x:c>
      <x:c r="G11" s="18" t="str">
        <x:v>PREPARED_NOT_DELIVERED</x:v>
      </x:c>
      <x:c r="H11" s="18" t="str">
        <x:v>Architecture</x:v>
      </x:c>
      <x:c r="I11" s="18" t="str">
        <x:v>AAI-SRC-0002; AAI-SRC-0003; AAI-SRC-0014</x:v>
      </x:c>
      <x:c r="J11" s="18" t="str"/>
      <x:c r="K11" s="18" t="str">
        <x:v>AAI-DGM-0003; AAI-DGM-0004</x:v>
      </x:c>
      <x:c r="L11" s="18" t="str">
        <x:v>Oleada 1</x:v>
      </x:c>
    </x:row>
    <x:row r="12">
      <x:c r="A12" s="18" t="str">
        <x:v>AAI-DOC-0103</x:v>
      </x:c>
      <x:c r="B12" s="18" t="str">
        <x:v>Capacidades, actores y casos de uso</x:v>
      </x:c>
      <x:c r="C12" s="18" t="str">
        <x:v>Product</x:v>
      </x:c>
      <x:c r="D12" s="18" t="str">
        <x:v>Specification</x:v>
      </x:c>
      <x:c r="E12" s="18" t="str">
        <x:v>0.1.0-draft</x:v>
      </x:c>
      <x:c r="F12" s="18" t="str">
        <x:v>DRAFT</x:v>
      </x:c>
      <x:c r="G12" s="18" t="str">
        <x:v>PREPARED_NOT_DELIVERED</x:v>
      </x:c>
      <x:c r="H12" s="18" t="str">
        <x:v>Architecture</x:v>
      </x:c>
      <x:c r="I12" s="18" t="str">
        <x:v>AAI-SRC-0001; AAI-SRC-0014</x:v>
      </x:c>
      <x:c r="J12" s="18" t="str"/>
      <x:c r="K12" s="18" t="str">
        <x:v>AAI-DGM-0025</x:v>
      </x:c>
      <x:c r="L12" s="18" t="str">
        <x:v>Oleada 1</x:v>
      </x:c>
    </x:row>
    <x:row r="13">
      <x:c r="A13" s="18" t="str">
        <x:v>AAI-DOC-0104</x:v>
      </x:c>
      <x:c r="B13" s="18" t="str">
        <x:v>Vectores transversales de arquitectura</x:v>
      </x:c>
      <x:c r="C13" s="18" t="str">
        <x:v>Product</x:v>
      </x:c>
      <x:c r="D13" s="18" t="str">
        <x:v>Specification</x:v>
      </x:c>
      <x:c r="E13" s="18" t="str">
        <x:v>0.1.0-draft</x:v>
      </x:c>
      <x:c r="F13" s="18" t="str">
        <x:v>DRAFT</x:v>
      </x:c>
      <x:c r="G13" s="18" t="str">
        <x:v>PREPARED_NOT_DELIVERED</x:v>
      </x:c>
      <x:c r="H13" s="18" t="str">
        <x:v>Architecture</x:v>
      </x:c>
      <x:c r="I13" s="18" t="str">
        <x:v>AAI-SRC-0003; AAI-SRC-0014</x:v>
      </x:c>
      <x:c r="J13" s="18" t="str"/>
      <x:c r="K13" s="18" t="str">
        <x:v>AAI-DGM-0025</x:v>
      </x:c>
      <x:c r="L13" s="18" t="str">
        <x:v>Oleada 1</x:v>
      </x:c>
    </x:row>
    <x:row r="14">
      <x:c r="A14" s="18" t="str">
        <x:v>AAI-DOC-0105</x:v>
      </x:c>
      <x:c r="B14" s="18" t="str">
        <x:v>Conceptos operativos extraídos</x:v>
      </x:c>
      <x:c r="C14" s="18" t="str">
        <x:v>Product</x:v>
      </x:c>
      <x:c r="D14" s="18" t="str">
        <x:v>Specification</x:v>
      </x:c>
      <x:c r="E14" s="18" t="str">
        <x:v>0.1.0-draft</x:v>
      </x:c>
      <x:c r="F14" s="18" t="str">
        <x:v>DRAFT</x:v>
      </x:c>
      <x:c r="G14" s="18" t="str">
        <x:v>PREPARED_NOT_DELIVERED</x:v>
      </x:c>
      <x:c r="H14" s="18" t="str">
        <x:v>Architecture</x:v>
      </x:c>
      <x:c r="I14" s="18" t="str">
        <x:v>AAI-SRC-0014</x:v>
      </x:c>
      <x:c r="J14" s="18" t="str"/>
      <x:c r="K14" s="18" t="str">
        <x:v>AAI-DGM-0013; AAI-DGM-0014</x:v>
      </x:c>
      <x:c r="L14" s="18" t="str">
        <x:v>Oleada 1</x:v>
      </x:c>
    </x:row>
    <x:row r="15">
      <x:c r="A15" s="18" t="str">
        <x:v>AAI-DOC-0106</x:v>
      </x:c>
      <x:c r="B15" s="18" t="str">
        <x:v>Alcance inicial de seguridad y fraude</x:v>
      </x:c>
      <x:c r="C15" s="18" t="str">
        <x:v>Security</x:v>
      </x:c>
      <x:c r="D15" s="18" t="str">
        <x:v>Scope</x:v>
      </x:c>
      <x:c r="E15" s="18" t="str">
        <x:v>0.1.0-draft</x:v>
      </x:c>
      <x:c r="F15" s="18" t="str">
        <x:v>DRAFT</x:v>
      </x:c>
      <x:c r="G15" s="18" t="str">
        <x:v>PREPARED_NOT_DELIVERED</x:v>
      </x:c>
      <x:c r="H15" s="18" t="str">
        <x:v>Security</x:v>
      </x:c>
      <x:c r="I15" s="18" t="str">
        <x:v>AAI-SRC-0003; AAI-SRC-0014</x:v>
      </x:c>
      <x:c r="J15" s="18" t="str"/>
      <x:c r="K15" s="18" t="str">
        <x:v>AAI-DGM-0019; AAI-DGM-0020</x:v>
      </x:c>
      <x:c r="L15" s="18" t="str">
        <x:v>Oleada 1</x:v>
      </x:c>
    </x:row>
    <x:row r="16">
      <x:c r="A16" s="18" t="str">
        <x:v>AAI-DOC-0201</x:v>
      </x:c>
      <x:c r="B16" s="18" t="str">
        <x:v>Baseline de decisiones y direcciones</x:v>
      </x:c>
      <x:c r="C16" s="18" t="str">
        <x:v>Research</x:v>
      </x:c>
      <x:c r="D16" s="18" t="str">
        <x:v>Decision Baseline</x:v>
      </x:c>
      <x:c r="E16" s="18" t="str">
        <x:v>0.1.0-draft</x:v>
      </x:c>
      <x:c r="F16" s="18" t="str">
        <x:v>DRAFT</x:v>
      </x:c>
      <x:c r="G16" s="18" t="str">
        <x:v>PREPARED_NOT_DELIVERED</x:v>
      </x:c>
      <x:c r="H16" s="18" t="str">
        <x:v>Architecture</x:v>
      </x:c>
      <x:c r="I16" s="18" t="str">
        <x:v>AAI-SRC-0001; AAI-SRC-0014</x:v>
      </x:c>
      <x:c r="J16" s="18" t="str">
        <x:v>AAI-DEC-0001..0010</x:v>
      </x:c>
      <x:c r="K16" s="18" t="str"/>
      <x:c r="L16" s="18" t="str">
        <x:v>Oleada 2; reemplaza placeholder</x:v>
      </x:c>
    </x:row>
    <x:row r="17">
      <x:c r="A17" s="18" t="str">
        <x:v>AAI-DOC-0202</x:v>
      </x:c>
      <x:c r="B17" s="18" t="str">
        <x:v>Mapa de adopción de frameworks y estándares</x:v>
      </x:c>
      <x:c r="C17" s="18" t="str">
        <x:v>Research</x:v>
      </x:c>
      <x:c r="D17" s="18" t="str">
        <x:v>Adoption Map</x:v>
      </x:c>
      <x:c r="E17" s="18" t="str">
        <x:v>0.1.0-draft</x:v>
      </x:c>
      <x:c r="F17" s="18" t="str">
        <x:v>DRAFT</x:v>
      </x:c>
      <x:c r="G17" s="18" t="str">
        <x:v>PREPARED_NOT_DELIVERED</x:v>
      </x:c>
      <x:c r="H17" s="18" t="str">
        <x:v>Architecture</x:v>
      </x:c>
      <x:c r="I17" s="18" t="str">
        <x:v>AAI-SRC-0015..0031</x:v>
      </x:c>
      <x:c r="J17" s="18" t="str"/>
      <x:c r="K17" s="18" t="str"/>
      <x:c r="L17" s="18" t="str">
        <x:v>Oleada 2; research no equivale a adopción</x:v>
      </x:c>
    </x:row>
    <x:row r="18">
      <x:c r="A18" s="18" t="str">
        <x:v>AAI-DOC-0203</x:v>
      </x:c>
      <x:c r="B18" s="18" t="str">
        <x:v>Context engineering y Work Packages</x:v>
      </x:c>
      <x:c r="C18" s="18" t="str">
        <x:v>Research</x:v>
      </x:c>
      <x:c r="D18" s="18" t="str">
        <x:v>Specification</x:v>
      </x:c>
      <x:c r="E18" s="18" t="str">
        <x:v>0.0.0</x:v>
      </x:c>
      <x:c r="F18" s="18" t="str">
        <x:v>IDENTIFIED</x:v>
      </x:c>
      <x:c r="G18" s="18" t="str">
        <x:v>NOT_PLANNED</x:v>
      </x:c>
      <x:c r="H18" s="18" t="str">
        <x:v>Knowledge</x:v>
      </x:c>
      <x:c r="I18" s="18" t="str">
        <x:v>AAI-SRC-0001; AAI-SRC-0005</x:v>
      </x:c>
      <x:c r="J18" s="18" t="str"/>
      <x:c r="K18" s="18" t="str">
        <x:v>AAI-DGM-0008</x:v>
      </x:c>
      <x:c r="L18" s="18" t="str">
        <x:v>Oleada 2</x:v>
      </x:c>
    </x:row>
    <x:row r="19">
      <x:c r="A19" s="18" t="str">
        <x:v>AAI-DOC-0204</x:v>
      </x:c>
      <x:c r="B19" s="18" t="str">
        <x:v>RAG, GraphRAG y memoria</x:v>
      </x:c>
      <x:c r="C19" s="18" t="str">
        <x:v>Research</x:v>
      </x:c>
      <x:c r="D19" s="18" t="str">
        <x:v>Research</x:v>
      </x:c>
      <x:c r="E19" s="18" t="str">
        <x:v>0.0.0</x:v>
      </x:c>
      <x:c r="F19" s="18" t="str">
        <x:v>IDENTIFIED</x:v>
      </x:c>
      <x:c r="G19" s="18" t="str">
        <x:v>NOT_PLANNED</x:v>
      </x:c>
      <x:c r="H19" s="18" t="str">
        <x:v>Knowledge</x:v>
      </x:c>
      <x:c r="I19" s="18" t="str">
        <x:v>AAI-SRC-0002; AAI-SRC-0004</x:v>
      </x:c>
      <x:c r="J19" s="18" t="str"/>
      <x:c r="K19" s="18" t="str">
        <x:v>AAI-DGM-0009; AAI-DGM-0010</x:v>
      </x:c>
      <x:c r="L19" s="18" t="str">
        <x:v>Oleada 2</x:v>
      </x:c>
    </x:row>
    <x:row r="20">
      <x:c r="A20" s="18" t="str">
        <x:v>AAI-DOC-0207</x:v>
      </x:c>
      <x:c r="B20" s="18" t="str">
        <x:v>Catálogo de frameworks y estándares</x:v>
      </x:c>
      <x:c r="C20" s="18" t="str">
        <x:v>Research</x:v>
      </x:c>
      <x:c r="D20" s="18" t="str">
        <x:v>Catalog</x:v>
      </x:c>
      <x:c r="E20" s="18" t="str">
        <x:v>0.1.0-draft</x:v>
      </x:c>
      <x:c r="F20" s="18" t="str">
        <x:v>DRAFT</x:v>
      </x:c>
      <x:c r="G20" s="18" t="str">
        <x:v>PREPARED_NOT_DELIVERED</x:v>
      </x:c>
      <x:c r="H20" s="18" t="str">
        <x:v>Architecture</x:v>
      </x:c>
      <x:c r="I20" s="18" t="str">
        <x:v>AAI-SRC-0001; AAI-SRC-0002; AAI-SRC-0014</x:v>
      </x:c>
      <x:c r="J20" s="18" t="str"/>
      <x:c r="K20" s="18" t="str"/>
      <x:c r="L20" s="18" t="str">
        <x:v>Oleada 1 partial; deepen in Oleada 2</x:v>
      </x:c>
    </x:row>
    <x:row r="21">
      <x:c r="A21" s="18" t="str">
        <x:v>AAI-SPEC-0001</x:v>
      </x:c>
      <x:c r="B21" s="18" t="str">
        <x:v>Institutional Context Bootstrap</x:v>
      </x:c>
      <x:c r="C21" s="18" t="str">
        <x:v>Specification</x:v>
      </x:c>
      <x:c r="D21" s="18" t="str">
        <x:v>Technical Spec</x:v>
      </x:c>
      <x:c r="E21" s="18" t="str">
        <x:v>0.1.0-draft</x:v>
      </x:c>
      <x:c r="F21" s="18" t="str">
        <x:v>DRAFT</x:v>
      </x:c>
      <x:c r="G21" s="18" t="str">
        <x:v>PREPARED_NOT_DELIVERED</x:v>
      </x:c>
      <x:c r="H21" s="18" t="str">
        <x:v>Engineering</x:v>
      </x:c>
      <x:c r="I21" s="18" t="str">
        <x:v>AAI-SRC-0003; AAI-SRC-0014</x:v>
      </x:c>
      <x:c r="J21" s="18" t="str"/>
      <x:c r="K21" s="18" t="str">
        <x:v>AAI-DGM-0003; AAI-DGM-0004</x:v>
      </x:c>
      <x:c r="L21" s="18" t="str">
        <x:v>Oleada 1</x:v>
      </x:c>
    </x:row>
    <x:row r="22">
      <x:c r="A22" s="18" t="str">
        <x:v>AAI-SPEC-0002</x:v>
      </x:c>
      <x:c r="B22" s="18" t="str">
        <x:v>Cross-Vector Architecture Analysis</x:v>
      </x:c>
      <x:c r="C22" s="18" t="str">
        <x:v>Specification</x:v>
      </x:c>
      <x:c r="D22" s="18" t="str">
        <x:v>Technical Spec</x:v>
      </x:c>
      <x:c r="E22" s="18" t="str">
        <x:v>0.1.0-draft</x:v>
      </x:c>
      <x:c r="F22" s="18" t="str">
        <x:v>DRAFT</x:v>
      </x:c>
      <x:c r="G22" s="18" t="str">
        <x:v>PREPARED_NOT_DELIVERED</x:v>
      </x:c>
      <x:c r="H22" s="18" t="str">
        <x:v>Engineering</x:v>
      </x:c>
      <x:c r="I22" s="18" t="str">
        <x:v>AAI-SRC-0003; AAI-SRC-0014</x:v>
      </x:c>
      <x:c r="J22" s="18" t="str"/>
      <x:c r="K22" s="18" t="str">
        <x:v>AAI-DGM-0025</x:v>
      </x:c>
      <x:c r="L22" s="18" t="str">
        <x:v>Oleada 1</x:v>
      </x:c>
    </x:row>
    <x:row r="23">
      <x:c r="A23" s="18" t="str">
        <x:v>AAI-SPEC-0003</x:v>
      </x:c>
      <x:c r="B23" s="18" t="str">
        <x:v>Desktop Task Handoff</x:v>
      </x:c>
      <x:c r="C23" s="18" t="str">
        <x:v>Specification</x:v>
      </x:c>
      <x:c r="D23" s="18" t="str">
        <x:v>Technical Spec</x:v>
      </x:c>
      <x:c r="E23" s="18" t="str">
        <x:v>0.1.0-draft</x:v>
      </x:c>
      <x:c r="F23" s="18" t="str">
        <x:v>DRAFT</x:v>
      </x:c>
      <x:c r="G23" s="18" t="str">
        <x:v>PREPARED_NOT_DELIVERED</x:v>
      </x:c>
      <x:c r="H23" s="18" t="str">
        <x:v>Engineering</x:v>
      </x:c>
      <x:c r="I23" s="18" t="str">
        <x:v>AAI-SRC-0014</x:v>
      </x:c>
      <x:c r="J23" s="18" t="str"/>
      <x:c r="K23" s="18" t="str">
        <x:v>AAI-DGM-0001; AAI-DGM-0008</x:v>
      </x:c>
      <x:c r="L23" s="18" t="str">
        <x:v>Oleada 1</x:v>
      </x:c>
    </x:row>
    <x:row r="24">
      <x:c r="A24" s="18" t="str">
        <x:v>AAI-DOC-0301</x:v>
      </x:c>
      <x:c r="B24" s="18" t="str">
        <x:v>Diseño de sistema Architecture AI</x:v>
      </x:c>
      <x:c r="C24" s="18" t="str">
        <x:v>Architecture</x:v>
      </x:c>
      <x:c r="D24" s="18" t="str">
        <x:v>System Design</x:v>
      </x:c>
      <x:c r="E24" s="18" t="str">
        <x:v>0.1.0-draft</x:v>
      </x:c>
      <x:c r="F24" s="18" t="str">
        <x:v>DRAFT</x:v>
      </x:c>
      <x:c r="G24" s="18" t="str">
        <x:v>PREPARED_NOT_DELIVERED</x:v>
      </x:c>
      <x:c r="H24" s="18" t="str">
        <x:v>Architecture</x:v>
      </x:c>
      <x:c r="I24" s="18" t="str">
        <x:v>AAI-SRC-0001; AAI-SRC-0008</x:v>
      </x:c>
      <x:c r="J24" s="18" t="str">
        <x:v>AAI-DEC-0001; AAI-DEC-0002</x:v>
      </x:c>
      <x:c r="K24" s="18" t="str">
        <x:v>AAI-DGM-0001; AAI-DGM-0004</x:v>
      </x:c>
      <x:c r="L24" s="18" t="str">
        <x:v>Paquete v0.1 es semilla</x:v>
      </x:c>
    </x:row>
    <x:row r="25">
      <x:c r="A25" s="18" t="str">
        <x:v>AAI-DOC-0302</x:v>
      </x:c>
      <x:c r="B25" s="18" t="str">
        <x:v>Arquitectura local-first</x:v>
      </x:c>
      <x:c r="C25" s="18" t="str">
        <x:v>Architecture</x:v>
      </x:c>
      <x:c r="D25" s="18" t="str">
        <x:v>Architecture</x:v>
      </x:c>
      <x:c r="E25" s="18" t="str">
        <x:v>0.1.0-draft</x:v>
      </x:c>
      <x:c r="F25" s="18" t="str">
        <x:v>DRAFT</x:v>
      </x:c>
      <x:c r="G25" s="18" t="str">
        <x:v>PREPARED_NOT_DELIVERED</x:v>
      </x:c>
      <x:c r="H25" s="18" t="str">
        <x:v>Engineering</x:v>
      </x:c>
      <x:c r="I25" s="18" t="str">
        <x:v>AAI-SRC-0001; AAI-SRC-0014</x:v>
      </x:c>
      <x:c r="J25" s="18" t="str">
        <x:v>AAI-DEC-0002; AAI-DEC-0007</x:v>
      </x:c>
      <x:c r="K25" s="18" t="str">
        <x:v>AAI-DGM-0005; AAI-DGM-0006</x:v>
      </x:c>
      <x:c r="L25" s="18" t="str">
        <x:v>Oleada 2</x:v>
      </x:c>
    </x:row>
    <x:row r="26">
      <x:c r="A26" s="18" t="str">
        <x:v>AAI-DOC-0303</x:v>
      </x:c>
      <x:c r="B26" s="18" t="str">
        <x:v>Arquitectura objetivo OpenShift</x:v>
      </x:c>
      <x:c r="C26" s="18" t="str">
        <x:v>Architecture</x:v>
      </x:c>
      <x:c r="D26" s="18" t="str">
        <x:v>Architecture</x:v>
      </x:c>
      <x:c r="E26" s="18" t="str">
        <x:v>0.0.0</x:v>
      </x:c>
      <x:c r="F26" s="18" t="str">
        <x:v>IDENTIFIED</x:v>
      </x:c>
      <x:c r="G26" s="18" t="str">
        <x:v>NOT_PLANNED</x:v>
      </x:c>
      <x:c r="H26" s="18" t="str">
        <x:v>Platform</x:v>
      </x:c>
      <x:c r="I26" s="18" t="str">
        <x:v>AAI-SRC-0001</x:v>
      </x:c>
      <x:c r="J26" s="18" t="str"/>
      <x:c r="K26" s="18" t="str">
        <x:v>AAI-DGM-0005; AAI-DGM-0022</x:v>
      </x:c>
      <x:c r="L26" s="18" t="str">
        <x:v>Oleada 3</x:v>
      </x:c>
    </x:row>
    <x:row r="27">
      <x:c r="A27" s="18" t="str">
        <x:v>AAI-DOC-0307</x:v>
      </x:c>
      <x:c r="B27" s="18" t="str">
        <x:v>Persistencia y estrategia de datos</x:v>
      </x:c>
      <x:c r="C27" s="18" t="str">
        <x:v>Architecture</x:v>
      </x:c>
      <x:c r="D27" s="18" t="str">
        <x:v>Architecture</x:v>
      </x:c>
      <x:c r="E27" s="18" t="str">
        <x:v>0.1.0-draft</x:v>
      </x:c>
      <x:c r="F27" s="18" t="str">
        <x:v>DRAFT</x:v>
      </x:c>
      <x:c r="G27" s="18" t="str">
        <x:v>PREPARED_NOT_DELIVERED</x:v>
      </x:c>
      <x:c r="H27" s="18" t="str">
        <x:v>Data</x:v>
      </x:c>
      <x:c r="I27" s="18" t="str">
        <x:v>AAI-SRC-0004; AAI-SRC-0008; AAI-SRC-0020</x:v>
      </x:c>
      <x:c r="J27" s="18" t="str">
        <x:v>AAI-DEC-0003; AAI-DEC-0005; AAI-DEC-0006</x:v>
      </x:c>
      <x:c r="K27" s="18" t="str">
        <x:v>AAI-DGM-0018</x:v>
      </x:c>
      <x:c r="L27" s="18" t="str">
        <x:v>Oleada 2</x:v>
      </x:c>
    </x:row>
    <x:row r="28">
      <x:c r="A28" s="18" t="str">
        <x:v>AAI-DOC-0401</x:v>
      </x:c>
      <x:c r="B28" s="18" t="str">
        <x:v>Modelo operativo de agentes</x:v>
      </x:c>
      <x:c r="C28" s="18" t="str">
        <x:v>Agents</x:v>
      </x:c>
      <x:c r="D28" s="18" t="str">
        <x:v>Operating Model</x:v>
      </x:c>
      <x:c r="E28" s="18" t="str">
        <x:v>0.0.0</x:v>
      </x:c>
      <x:c r="F28" s="18" t="str">
        <x:v>IDENTIFIED</x:v>
      </x:c>
      <x:c r="G28" s="18" t="str">
        <x:v>NOT_PLANNED</x:v>
      </x:c>
      <x:c r="H28" s="18" t="str">
        <x:v>Architecture</x:v>
      </x:c>
      <x:c r="I28" s="18" t="str">
        <x:v>AAI-SRC-0001; AAI-SRC-0002</x:v>
      </x:c>
      <x:c r="J28" s="18" t="str"/>
      <x:c r="K28" s="18" t="str">
        <x:v>AAI-DGM-0007; AAI-DGM-0013</x:v>
      </x:c>
      <x:c r="L28" s="18" t="str">
        <x:v>Oleada 5</x:v>
      </x:c>
    </x:row>
    <x:row r="29">
      <x:c r="A29" s="18" t="str">
        <x:v>AAI-DOC-0501</x:v>
      </x:c>
      <x:c r="B29" s="18" t="str">
        <x:v>Arquitectura de conocimiento y evidencia</x:v>
      </x:c>
      <x:c r="C29" s="18" t="str">
        <x:v>Knowledge</x:v>
      </x:c>
      <x:c r="D29" s="18" t="str">
        <x:v>Architecture</x:v>
      </x:c>
      <x:c r="E29" s="18" t="str">
        <x:v>0.1.0-draft</x:v>
      </x:c>
      <x:c r="F29" s="18" t="str">
        <x:v>DRAFT</x:v>
      </x:c>
      <x:c r="G29" s="18" t="str">
        <x:v>PREPARED_NOT_DELIVERED</x:v>
      </x:c>
      <x:c r="H29" s="18" t="str">
        <x:v>Knowledge</x:v>
      </x:c>
      <x:c r="I29" s="18" t="str">
        <x:v>AAI-SRC-0002; AAI-SRC-0004; AAI-SRC-0026</x:v>
      </x:c>
      <x:c r="J29" s="18" t="str">
        <x:v>AAI-DEC-0003; AAI-DEC-0009</x:v>
      </x:c>
      <x:c r="K29" s="18" t="str">
        <x:v>AAI-DGM-0010; AAI-DGM-0011</x:v>
      </x:c>
      <x:c r="L29" s="18" t="str">
        <x:v>Oleada 2</x:v>
      </x:c>
    </x:row>
    <x:row r="30">
      <x:c r="A30" s="18" t="str">
        <x:v>AAI-DOC-0502</x:v>
      </x:c>
      <x:c r="B30" s="18" t="str">
        <x:v>Ontología y grafo de arquitectura</x:v>
      </x:c>
      <x:c r="C30" s="18" t="str">
        <x:v>Knowledge</x:v>
      </x:c>
      <x:c r="D30" s="18" t="str">
        <x:v>Data Model</x:v>
      </x:c>
      <x:c r="E30" s="18" t="str">
        <x:v>0.1.0-draft</x:v>
      </x:c>
      <x:c r="F30" s="18" t="str">
        <x:v>DRAFT</x:v>
      </x:c>
      <x:c r="G30" s="18" t="str">
        <x:v>PREPARED_NOT_DELIVERED</x:v>
      </x:c>
      <x:c r="H30" s="18" t="str">
        <x:v>Knowledge</x:v>
      </x:c>
      <x:c r="I30" s="18" t="str">
        <x:v>AAI-SRC-0004; AAI-SRC-0020; AAI-SRC-0026</x:v>
      </x:c>
      <x:c r="J30" s="18" t="str">
        <x:v>AAI-DEC-0005; AAI-DEC-0009</x:v>
      </x:c>
      <x:c r="K30" s="18" t="str">
        <x:v>AAI-DGM-0011; AAI-DGM-0018</x:v>
      </x:c>
      <x:c r="L30" s="18" t="str">
        <x:v>Oleada 2</x:v>
      </x:c>
    </x:row>
    <x:row r="31">
      <x:c r="A31" s="18" t="str">
        <x:v>AAI-DOC-0503</x:v>
      </x:c>
      <x:c r="B31" s="18" t="str">
        <x:v>Context engineering, RAG y Work Package</x:v>
      </x:c>
      <x:c r="C31" s="18" t="str">
        <x:v>Knowledge</x:v>
      </x:c>
      <x:c r="D31" s="18" t="str">
        <x:v>Architecture</x:v>
      </x:c>
      <x:c r="E31" s="18" t="str">
        <x:v>0.1.0-draft</x:v>
      </x:c>
      <x:c r="F31" s="18" t="str">
        <x:v>DRAFT</x:v>
      </x:c>
      <x:c r="G31" s="18" t="str">
        <x:v>PREPARED_NOT_DELIVERED</x:v>
      </x:c>
      <x:c r="H31" s="18" t="str">
        <x:v>Knowledge</x:v>
      </x:c>
      <x:c r="I31" s="18" t="str">
        <x:v>AAI-SRC-0005; AAI-SRC-0014; AAI-SRC-0015</x:v>
      </x:c>
      <x:c r="J31" s="18" t="str">
        <x:v>AAI-DEC-0004; AAI-DEC-0009</x:v>
      </x:c>
      <x:c r="K31" s="18" t="str">
        <x:v>AAI-DGM-0008; AAI-DGM-0009</x:v>
      </x:c>
      <x:c r="L31" s="18" t="str">
        <x:v>Oleada 2</x:v>
      </x:c>
    </x:row>
    <x:row r="32">
      <x:c r="A32" s="18" t="str">
        <x:v>AAI-DOC-0601</x:v>
      </x:c>
      <x:c r="B32" s="18" t="str">
        <x:v>Arquitectura de seguridad</x:v>
      </x:c>
      <x:c r="C32" s="18" t="str">
        <x:v>Security</x:v>
      </x:c>
      <x:c r="D32" s="18" t="str">
        <x:v>Security Architecture</x:v>
      </x:c>
      <x:c r="E32" s="18" t="str">
        <x:v>0.1.0-draft</x:v>
      </x:c>
      <x:c r="F32" s="18" t="str">
        <x:v>DRAFT</x:v>
      </x:c>
      <x:c r="G32" s="18" t="str">
        <x:v>PREPARED_NOT_DELIVERED</x:v>
      </x:c>
      <x:c r="H32" s="18" t="str">
        <x:v>Security</x:v>
      </x:c>
      <x:c r="I32" s="18" t="str">
        <x:v>AAI-SRC-0001; AAI-SRC-0015; AAI-SRC-0016; AAI-SRC-0021</x:v>
      </x:c>
      <x:c r="J32" s="18" t="str">
        <x:v>AAI-DEC-0009</x:v>
      </x:c>
      <x:c r="K32" s="18" t="str">
        <x:v>AAI-DGM-0019</x:v>
      </x:c>
      <x:c r="L32" s="18" t="str">
        <x:v>Oleada 2</x:v>
      </x:c>
    </x:row>
    <x:row r="33">
      <x:c r="A33" s="18" t="str">
        <x:v>AAI-DOC-0602</x:v>
      </x:c>
      <x:c r="B33" s="18" t="str">
        <x:v>Threat model STRIDE y abuse cases</x:v>
      </x:c>
      <x:c r="C33" s="18" t="str">
        <x:v>Security</x:v>
      </x:c>
      <x:c r="D33" s="18" t="str">
        <x:v>Threat Model</x:v>
      </x:c>
      <x:c r="E33" s="18" t="str">
        <x:v>0.1.0-draft</x:v>
      </x:c>
      <x:c r="F33" s="18" t="str">
        <x:v>DRAFT</x:v>
      </x:c>
      <x:c r="G33" s="18" t="str">
        <x:v>PREPARED_NOT_DELIVERED</x:v>
      </x:c>
      <x:c r="H33" s="18" t="str">
        <x:v>Security</x:v>
      </x:c>
      <x:c r="I33" s="18" t="str">
        <x:v>AAI-SRC-0016; AAI-SRC-0021; AAI-SRC-0022</x:v>
      </x:c>
      <x:c r="J33" s="18" t="str"/>
      <x:c r="K33" s="18" t="str">
        <x:v>AAI-DGM-0020</x:v>
      </x:c>
      <x:c r="L33" s="18" t="str">
        <x:v>Oleada 2</x:v>
      </x:c>
    </x:row>
    <x:row r="34">
      <x:c r="A34" s="18" t="str">
        <x:v>AAI-DOC-0603</x:v>
      </x:c>
      <x:c r="B34" s="18" t="str">
        <x:v>Controles de IA, RAG, MCP y tools</x:v>
      </x:c>
      <x:c r="C34" s="18" t="str">
        <x:v>Security</x:v>
      </x:c>
      <x:c r="D34" s="18" t="str">
        <x:v>Control Catalog</x:v>
      </x:c>
      <x:c r="E34" s="18" t="str">
        <x:v>0.0.0</x:v>
      </x:c>
      <x:c r="F34" s="18" t="str">
        <x:v>IDENTIFIED</x:v>
      </x:c>
      <x:c r="G34" s="18" t="str">
        <x:v>NOT_PLANNED</x:v>
      </x:c>
      <x:c r="H34" s="18" t="str">
        <x:v>Security</x:v>
      </x:c>
      <x:c r="I34" s="18" t="str"/>
      <x:c r="J34" s="18" t="str"/>
      <x:c r="K34" s="18" t="str">
        <x:v>AAI-DGM-0019; AAI-DGM-0020</x:v>
      </x:c>
      <x:c r="L34" s="18" t="str">
        <x:v>Oleada 6</x:v>
      </x:c>
    </x:row>
    <x:row r="35">
      <x:c r="A35" s="18" t="str">
        <x:v>AAI-DOC-0701</x:v>
      </x:c>
      <x:c r="B35" s="18" t="str">
        <x:v>Modelo de conocimiento bancario</x:v>
      </x:c>
      <x:c r="C35" s="18" t="str">
        <x:v>Banking</x:v>
      </x:c>
      <x:c r="D35" s="18" t="str">
        <x:v>Knowledge Model</x:v>
      </x:c>
      <x:c r="E35" s="18" t="str">
        <x:v>0.1.0-draft</x:v>
      </x:c>
      <x:c r="F35" s="18" t="str">
        <x:v>DRAFT</x:v>
      </x:c>
      <x:c r="G35" s="18" t="str">
        <x:v>PREPARED_NOT_DELIVERED</x:v>
      </x:c>
      <x:c r="H35" s="18" t="str">
        <x:v>Architecture</x:v>
      </x:c>
      <x:c r="I35" s="18" t="str">
        <x:v>AAI-SRC-0003; AAI-SRC-0009; AAI-SRC-0010; AAI-SRC-0014</x:v>
      </x:c>
      <x:c r="J35" s="18" t="str"/>
      <x:c r="K35" s="18" t="str">
        <x:v>AAI-DGM-0024; AAI-DGM-0026</x:v>
      </x:c>
      <x:c r="L35" s="18" t="str">
        <x:v>Bootstrap in Oleada 1; deepen in Oleada 7</x:v>
      </x:c>
    </x:row>
    <x:row r="36">
      <x:c r="A36" s="18" t="str">
        <x:v>AAI-DOC-0801</x:v>
      </x:c>
      <x:c r="B36" s="18" t="str">
        <x:v>Roadmap e implementación</x:v>
      </x:c>
      <x:c r="C36" s="18" t="str">
        <x:v>Delivery</x:v>
      </x:c>
      <x:c r="D36" s="18" t="str">
        <x:v>Roadmap</x:v>
      </x:c>
      <x:c r="E36" s="18" t="str">
        <x:v>0.1.0-draft</x:v>
      </x:c>
      <x:c r="F36" s="18" t="str">
        <x:v>DRAFT</x:v>
      </x:c>
      <x:c r="G36" s="18" t="str">
        <x:v>PREPARED_NOT_DELIVERED</x:v>
      </x:c>
      <x:c r="H36" s="18" t="str">
        <x:v>Engineering</x:v>
      </x:c>
      <x:c r="I36" s="18" t="str">
        <x:v>AAI-SRC-0008</x:v>
      </x:c>
      <x:c r="J36" s="18" t="str"/>
      <x:c r="K36" s="18" t="str"/>
      <x:c r="L36" s="18" t="str">
        <x:v>Paquete v0.1</x:v>
      </x:c>
    </x:row>
    <x:row r="37">
      <x:c r="A37" s="18" t="str">
        <x:v>AAI-DOC-0604</x:v>
      </x:c>
      <x:c r="B37" s="18" t="str">
        <x:v>Fraude, identidad y abuso agentic</x:v>
      </x:c>
      <x:c r="C37" s="18" t="str">
        <x:v>Security</x:v>
      </x:c>
      <x:c r="D37" s="18" t="str">
        <x:v>Security/Fraud Model</x:v>
      </x:c>
      <x:c r="E37" s="18" t="str">
        <x:v>0.1.0-draft</x:v>
      </x:c>
      <x:c r="F37" s="18" t="str">
        <x:v>DRAFT</x:v>
      </x:c>
      <x:c r="G37" s="18" t="str">
        <x:v>PREPARED_NOT_DELIVERED</x:v>
      </x:c>
      <x:c r="H37" s="18" t="str">
        <x:v>Security/Fraud</x:v>
      </x:c>
      <x:c r="I37" s="18" t="str">
        <x:v>AAI-SRC-0003; AAI-SRC-0019; AAI-SRC-0021</x:v>
      </x:c>
      <x:c r="J37" s="18" t="str"/>
      <x:c r="K37" s="18" t="str">
        <x:v>AAI-DGM-0020; AAI-DGM-0025</x:v>
      </x:c>
      <x:c r="L37" s="18" t="str">
        <x:v>Oleada 2</x:v>
      </x:c>
    </x:row>
    <x:row r="38">
      <x:c r="A38" s="18" t="str">
        <x:v>AAI-DOC-0802</x:v>
      </x:c>
      <x:c r="B38" s="18" t="str">
        <x:v>Pruebas, evaluación y aceptación</x:v>
      </x:c>
      <x:c r="C38" s="18" t="str">
        <x:v>Quality</x:v>
      </x:c>
      <x:c r="D38" s="18" t="str">
        <x:v>Test Strategy</x:v>
      </x:c>
      <x:c r="E38" s="18" t="str">
        <x:v>0.1.0-draft</x:v>
      </x:c>
      <x:c r="F38" s="18" t="str">
        <x:v>DRAFT</x:v>
      </x:c>
      <x:c r="G38" s="18" t="str">
        <x:v>PREPARED_NOT_DELIVERED</x:v>
      </x:c>
      <x:c r="H38" s="18" t="str">
        <x:v>QA</x:v>
      </x:c>
      <x:c r="I38" s="18" t="str">
        <x:v>AAI-SRC-0008</x:v>
      </x:c>
      <x:c r="J38" s="18" t="str"/>
      <x:c r="K38" s="18" t="str"/>
      <x:c r="L38" s="18" t="str">
        <x:v>Paquete v0.1</x:v>
      </x:c>
    </x:row>
    <x:row r="39">
      <x:c r="A39" s="18" t="str">
        <x:v>HAPPY-KNOW-00</x:v>
      </x:c>
      <x:c r="B39" s="18" t="str">
        <x:v>Master Context</x:v>
      </x:c>
      <x:c r="C39" s="18" t="str">
        <x:v>Knowledge Compiler</x:v>
      </x:c>
      <x:c r="D39" s="18" t="str">
        <x:v>Canonical Index</x:v>
      </x:c>
      <x:c r="E39" s="18" t="str">
        <x:v>0.1.0-draft</x:v>
      </x:c>
      <x:c r="F39" s="18" t="str">
        <x:v>DRAFT</x:v>
      </x:c>
      <x:c r="G39" s="18" t="str">
        <x:v>PREPARED_NOT_DELIVERED</x:v>
      </x:c>
      <x:c r="H39" s="18" t="str">
        <x:v>Architecture</x:v>
      </x:c>
      <x:c r="I39" s="18" t="str">
        <x:v>AAI-SRC-0014; AAI-SRC-0032; AAI-SRC-0034</x:v>
      </x:c>
      <x:c r="J39" s="18" t="str">
        <x:v>AAI-DEC-0001..0019</x:v>
      </x:c>
      <x:c r="K39" s="18" t="str"/>
      <x:c r="L39" s="18" t="str">
        <x:v>Seed Acceptance transition and SER-002→003→006 path linked; no implementation/readiness elevation</x:v>
      </x:c>
    </x:row>
    <x:row r="40">
      <x:c r="A40" s="18" t="str">
        <x:v>HAPPY-KNOW-22</x:v>
      </x:c>
      <x:c r="B40" s="18" t="str">
        <x:v>Specification Catalog</x:v>
      </x:c>
      <x:c r="C40" s="18" t="str">
        <x:v>Knowledge Compiler</x:v>
      </x:c>
      <x:c r="D40" s="18" t="str">
        <x:v>Register</x:v>
      </x:c>
      <x:c r="E40" s="18" t="str">
        <x:v>0.1.0-draft</x:v>
      </x:c>
      <x:c r="F40" s="18" t="str">
        <x:v>DRAFT</x:v>
      </x:c>
      <x:c r="G40" s="18" t="str">
        <x:v>PREPARED_NOT_DELIVERED</x:v>
      </x:c>
      <x:c r="H40" s="18" t="str">
        <x:v>Architecture</x:v>
      </x:c>
      <x:c r="I40" s="18" t="str">
        <x:v>AAI-SRC-0014; AAI-SRC-0033</x:v>
      </x:c>
      <x:c r="J40" s="18" t="str"/>
      <x:c r="K40" s="18" t="str"/>
      <x:c r="L40" s="18" t="str">
        <x:v>10 formal Specs retained; P-SEED-ACCEPT-01 creates zero new Spec IDs</x:v>
      </x:c>
    </x:row>
    <x:row r="41">
      <x:c r="A41" s="18" t="str">
        <x:v>HAPPY-KNOW-23</x:v>
      </x:c>
      <x:c r="B41" s="18" t="str">
        <x:v>Spec Relationship Map</x:v>
      </x:c>
      <x:c r="C41" s="18" t="str">
        <x:v>Knowledge Compiler</x:v>
      </x:c>
      <x:c r="D41" s="18" t="str">
        <x:v>Traceability</x:v>
      </x:c>
      <x:c r="E41" s="18" t="str">
        <x:v>0.1.0-draft</x:v>
      </x:c>
      <x:c r="F41" s="18" t="str">
        <x:v>DRAFT</x:v>
      </x:c>
      <x:c r="G41" s="18" t="str">
        <x:v>PREPARED_NOT_DELIVERED</x:v>
      </x:c>
      <x:c r="H41" s="18" t="str">
        <x:v>Architecture</x:v>
      </x:c>
      <x:c r="I41" s="18" t="str">
        <x:v>AAI-SRC-0014; AAI-SRC-0033</x:v>
      </x:c>
      <x:c r="J41" s="18" t="str"/>
      <x:c r="K41" s="18" t="str"/>
      <x:c r="L41" s="18" t="str">
        <x:v>170 relationships after acceptance/resume authority, environment, adoption and frontier links</x:v>
      </x:c>
    </x:row>
    <x:row r="42">
      <x:c r="A42" s="18" t="str">
        <x:v>HAPPY-KNOW-24</x:v>
      </x:c>
      <x:c r="B42" s="18" t="str">
        <x:v>Requirements Traceability</x:v>
      </x:c>
      <x:c r="C42" s="18" t="str">
        <x:v>Knowledge Compiler</x:v>
      </x:c>
      <x:c r="D42" s="18" t="str">
        <x:v>Traceability</x:v>
      </x:c>
      <x:c r="E42" s="18" t="str">
        <x:v>0.1.0-draft</x:v>
      </x:c>
      <x:c r="F42" s="18" t="str">
        <x:v>DRAFT</x:v>
      </x:c>
      <x:c r="G42" s="18" t="str">
        <x:v>PREPARED_NOT_DELIVERED</x:v>
      </x:c>
      <x:c r="H42" s="18" t="str">
        <x:v>Architecture/QA</x:v>
      </x:c>
      <x:c r="I42" s="18" t="str">
        <x:v>AAI-SRC-0008; AAI-SRC-0014</x:v>
      </x:c>
      <x:c r="J42" s="18" t="str"/>
      <x:c r="K42" s="18" t="str"/>
      <x:c r="L42" s="18" t="str">
        <x:v>60 FR + 42 NFR; TRC-022..029 added</x:v>
      </x:c>
    </x:row>
    <x:row r="43">
      <x:c r="A43" s="18" t="str">
        <x:v>HAPPY-KNOW-26</x:v>
      </x:c>
      <x:c r="B43" s="18" t="str">
        <x:v>Current Implementation Baseline</x:v>
      </x:c>
      <x:c r="C43" s="18" t="str">
        <x:v>Knowledge Compiler</x:v>
      </x:c>
      <x:c r="D43" s="18" t="str">
        <x:v>Implementation Status</x:v>
      </x:c>
      <x:c r="E43" s="18" t="str">
        <x:v>0.1.0-draft</x:v>
      </x:c>
      <x:c r="F43" s="18" t="str">
        <x:v>DRAFT</x:v>
      </x:c>
      <x:c r="G43" s="18" t="str">
        <x:v>PREPARED_NOT_DELIVERED</x:v>
      </x:c>
      <x:c r="H43" s="18" t="str">
        <x:v>Engineering</x:v>
      </x:c>
      <x:c r="I43" s="18" t="str">
        <x:v>AAI-SRC-0008</x:v>
      </x:c>
      <x:c r="J43" s="18" t="str"/>
      <x:c r="K43" s="18" t="str"/>
      <x:c r="L43" s="18" t="str">
        <x:v>Reported versus verified separated</x:v>
      </x:c>
    </x:row>
    <x:row r="44">
      <x:c r="A44" s="18" t="str">
        <x:v>HAPPY-KNOW-27</x:v>
      </x:c>
      <x:c r="B44" s="18" t="str">
        <x:v>Implementation Gap Matrix</x:v>
      </x:c>
      <x:c r="C44" s="18" t="str">
        <x:v>Knowledge Compiler</x:v>
      </x:c>
      <x:c r="D44" s="18" t="str">
        <x:v>Gap Register</x:v>
      </x:c>
      <x:c r="E44" s="18" t="str">
        <x:v>0.1.0-draft</x:v>
      </x:c>
      <x:c r="F44" s="18" t="str">
        <x:v>DRAFT</x:v>
      </x:c>
      <x:c r="G44" s="18" t="str">
        <x:v>PREPARED_NOT_DELIVERED</x:v>
      </x:c>
      <x:c r="H44" s="18" t="str">
        <x:v>Engineering/QA</x:v>
      </x:c>
      <x:c r="I44" s="18" t="str">
        <x:v>AAI-SRC-0008; AAI-SRC-0014</x:v>
      </x:c>
      <x:c r="J44" s="18" t="str"/>
      <x:c r="K44" s="18" t="str"/>
      <x:c r="L44" s="18" t="str">
        <x:v>Seed/runtime acceptance gaps explicit; no implementation-state elevation</x:v>
      </x:c>
    </x:row>
    <x:row r="45">
      <x:c r="A45" s="18" t="str">
        <x:v>HAPPY-KNOW-28</x:v>
      </x:c>
      <x:c r="B45" s="18" t="str">
        <x:v>Test and Validation Status</x:v>
      </x:c>
      <x:c r="C45" s="18" t="str">
        <x:v>Knowledge Compiler</x:v>
      </x:c>
      <x:c r="D45" s="18" t="str">
        <x:v>Test Register</x:v>
      </x:c>
      <x:c r="E45" s="18" t="str">
        <x:v>0.1.0-draft</x:v>
      </x:c>
      <x:c r="F45" s="18" t="str">
        <x:v>DRAFT</x:v>
      </x:c>
      <x:c r="G45" s="18" t="str">
        <x:v>PREPARED_NOT_DELIVERED</x:v>
      </x:c>
      <x:c r="H45" s="18" t="str">
        <x:v>QA</x:v>
      </x:c>
      <x:c r="I45" s="18" t="str">
        <x:v>AAI-SRC-0008</x:v>
      </x:c>
      <x:c r="J45" s="18" t="str"/>
      <x:c r="K45" s="18" t="str"/>
      <x:c r="L45" s="18" t="str">
        <x:v>82 tests/checks cataloged; FX-L..T/TST-0065..0082 designed, not executed</x:v>
      </x:c>
    </x:row>
    <x:row r="46">
      <x:c r="A46" s="18" t="str">
        <x:v>HAPPY-KNOW-29</x:v>
      </x:c>
      <x:c r="B46" s="18" t="str">
        <x:v>Prompt Execution History</x:v>
      </x:c>
      <x:c r="C46" s="18" t="str">
        <x:v>Knowledge Compiler</x:v>
      </x:c>
      <x:c r="D46" s="18" t="str">
        <x:v>Ledger</x:v>
      </x:c>
      <x:c r="E46" s="18" t="str">
        <x:v>0.1.0-draft</x:v>
      </x:c>
      <x:c r="F46" s="18" t="str">
        <x:v>DRAFT</x:v>
      </x:c>
      <x:c r="G46" s="18" t="str">
        <x:v>PREPARED_NOT_DELIVERED</x:v>
      </x:c>
      <x:c r="H46" s="18" t="str">
        <x:v>Architecture</x:v>
      </x:c>
      <x:c r="I46" s="18" t="str">
        <x:v>AAI-SRC-0006; AAI-SRC-0007</x:v>
      </x:c>
      <x:c r="J46" s="18" t="str"/>
      <x:c r="K46" s="18" t="str"/>
      <x:c r="L46" s="18" t="str">
        <x:v>P-SEED-ACCEPT-01 + RESUME-01 recorded under WORK; no Devin prompt sequence created</x:v>
      </x:c>
    </x:row>
    <x:row r="47">
      <x:c r="A47" s="18" t="str">
        <x:v>HAPPY-KNOW-30</x:v>
      </x:c>
      <x:c r="B47" s="18" t="str">
        <x:v>Devin Results Register</x:v>
      </x:c>
      <x:c r="C47" s="18" t="str">
        <x:v>Knowledge Compiler</x:v>
      </x:c>
      <x:c r="D47" s="18" t="str">
        <x:v>Ledger</x:v>
      </x:c>
      <x:c r="E47" s="18" t="str">
        <x:v>0.1.0-draft</x:v>
      </x:c>
      <x:c r="F47" s="18" t="str">
        <x:v>DRAFT</x:v>
      </x:c>
      <x:c r="G47" s="18" t="str">
        <x:v>PREPARED_NOT_DELIVERED</x:v>
      </x:c>
      <x:c r="H47" s="18" t="str">
        <x:v>Architecture/Engineering</x:v>
      </x:c>
      <x:c r="I47" s="18" t="str">
        <x:v>AAI-SRC-0008</x:v>
      </x:c>
      <x:c r="J47" s="18" t="str"/>
      <x:c r="K47" s="18" t="str"/>
      <x:c r="L47" s="18" t="str">
        <x:v>Raw baseline absent</x:v>
      </x:c>
    </x:row>
    <x:row r="48">
      <x:c r="A48" s="18" t="str">
        <x:v>HAPPY-KNOW-31</x:v>
      </x:c>
      <x:c r="B48" s="18" t="str">
        <x:v>Open Questions</x:v>
      </x:c>
      <x:c r="C48" s="18" t="str">
        <x:v>Knowledge Compiler</x:v>
      </x:c>
      <x:c r="D48" s="18" t="str">
        <x:v>Register</x:v>
      </x:c>
      <x:c r="E48" s="18" t="str">
        <x:v>0.1.0-draft</x:v>
      </x:c>
      <x:c r="F48" s="18" t="str">
        <x:v>DRAFT</x:v>
      </x:c>
      <x:c r="G48" s="18" t="str">
        <x:v>PREPARED_NOT_DELIVERED</x:v>
      </x:c>
      <x:c r="H48" s="18" t="str">
        <x:v>Architecture</x:v>
      </x:c>
      <x:c r="I48" s="18" t="str"/>
      <x:c r="J48" s="18" t="str"/>
      <x:c r="K48" s="18" t="str"/>
      <x:c r="L48" s="18" t="str">
        <x:v>45 open questions; priority, staging and Seed gates explicit</x:v>
      </x:c>
    </x:row>
    <x:row r="49">
      <x:c r="A49" s="18" t="str">
        <x:v>HAPPY-KNOW-32</x:v>
      </x:c>
      <x:c r="B49" s="18" t="str">
        <x:v>Contradictions and Gaps</x:v>
      </x:c>
      <x:c r="C49" s="18" t="str">
        <x:v>Knowledge Compiler</x:v>
      </x:c>
      <x:c r="D49" s="18" t="str">
        <x:v>Register</x:v>
      </x:c>
      <x:c r="E49" s="18" t="str">
        <x:v>0.1.0-draft</x:v>
      </x:c>
      <x:c r="F49" s="18" t="str">
        <x:v>DRAFT</x:v>
      </x:c>
      <x:c r="G49" s="18" t="str">
        <x:v>PREPARED_NOT_DELIVERED</x:v>
      </x:c>
      <x:c r="H49" s="18" t="str">
        <x:v>Architecture</x:v>
      </x:c>
      <x:c r="I49" s="18" t="str">
        <x:v>AAI-SRC-0014; AAI-SRC-0033</x:v>
      </x:c>
      <x:c r="J49" s="18" t="str">
        <x:v>AAI-DEC-0005</x:v>
      </x:c>
      <x:c r="K49" s="18" t="str"/>
      <x:c r="L49" s="18" t="str">
        <x:v>46 knowledge gaps; silent reconciliation prohibited</x:v>
      </x:c>
    </x:row>
    <x:row r="50">
      <x:c r="A50" s="18" t="str">
        <x:v>HAPPY-KNOW-34</x:v>
      </x:c>
      <x:c r="B50" s="18" t="str">
        <x:v>Delta Log</x:v>
      </x:c>
      <x:c r="C50" s="18" t="str">
        <x:v>Knowledge Compiler</x:v>
      </x:c>
      <x:c r="D50" s="18" t="str">
        <x:v>Ledger</x:v>
      </x:c>
      <x:c r="E50" s="18" t="str">
        <x:v>0.1.0-draft</x:v>
      </x:c>
      <x:c r="F50" s="18" t="str">
        <x:v>DRAFT</x:v>
      </x:c>
      <x:c r="G50" s="18" t="str">
        <x:v>PREPARED_NOT_DELIVERED</x:v>
      </x:c>
      <x:c r="H50" s="18" t="str">
        <x:v>Architecture</x:v>
      </x:c>
      <x:c r="I50" s="18" t="str">
        <x:v>AAI-SRC-0032</x:v>
      </x:c>
      <x:c r="J50" s="18" t="str"/>
      <x:c r="K50" s="18" t="str"/>
      <x:c r="L50" s="18" t="str">
        <x:v>Snapshot + delta</x:v>
      </x:c>
    </x:row>
    <x:row r="51">
      <x:c r="A51" s="18" t="str">
        <x:v>HAPPY-KNOW-37</x:v>
      </x:c>
      <x:c r="B51" s="18" t="str">
        <x:v>Source and Material Inventory</x:v>
      </x:c>
      <x:c r="C51" s="18" t="str">
        <x:v>Knowledge Compiler</x:v>
      </x:c>
      <x:c r="D51" s="18" t="str">
        <x:v>Inventory</x:v>
      </x:c>
      <x:c r="E51" s="18" t="str">
        <x:v>0.1.0-draft</x:v>
      </x:c>
      <x:c r="F51" s="18" t="str">
        <x:v>DRAFT</x:v>
      </x:c>
      <x:c r="G51" s="18" t="str">
        <x:v>PREPARED_NOT_DELIVERED</x:v>
      </x:c>
      <x:c r="H51" s="18" t="str">
        <x:v>Architecture</x:v>
      </x:c>
      <x:c r="I51" s="18" t="str">
        <x:v>AAI-SRC-0001..0033</x:v>
      </x:c>
      <x:c r="J51" s="18" t="str"/>
      <x:c r="K51" s="18" t="str"/>
      <x:c r="L51" s="18" t="str">
        <x:v>Observation class per source</x:v>
      </x:c>
    </x:row>
    <x:row r="52">
      <x:c r="A52" s="18" t="str">
        <x:v>HAPPY-KNOW-38</x:v>
      </x:c>
      <x:c r="B52" s="18" t="str">
        <x:v>Compiler Status</x:v>
      </x:c>
      <x:c r="C52" s="18" t="str">
        <x:v>Knowledge Compiler</x:v>
      </x:c>
      <x:c r="D52" s="18" t="str">
        <x:v>Status</x:v>
      </x:c>
      <x:c r="E52" s="18" t="str">
        <x:v>0.1.0-draft</x:v>
      </x:c>
      <x:c r="F52" s="18" t="str">
        <x:v>DRAFT</x:v>
      </x:c>
      <x:c r="G52" s="18" t="str">
        <x:v>PREPARED_NOT_DELIVERED</x:v>
      </x:c>
      <x:c r="H52" s="18" t="str">
        <x:v>Architecture</x:v>
      </x:c>
      <x:c r="I52" s="18" t="str"/>
      <x:c r="J52" s="18" t="str"/>
      <x:c r="K52" s="18" t="str"/>
      <x:c r="L52" s="18" t="str">
        <x:v>Seed model established DRAFT; readiness FALSE</x:v>
      </x:c>
    </x:row>
    <x:row r="53" ht="42" customHeight="1">
      <x:c r="A53" s="19" t="str">
        <x:v>HAPPY-KNOW-39</x:v>
      </x:c>
      <x:c r="B53" s="19" t="str">
        <x:v>Handoff Alignment</x:v>
      </x:c>
      <x:c r="C53" s="19" t="str">
        <x:v>Knowledge Compiler</x:v>
      </x:c>
      <x:c r="D53" s="19" t="str">
        <x:v>Handoff Model</x:v>
      </x:c>
      <x:c r="E53" s="19" t="str">
        <x:v>0.1.0-draft</x:v>
      </x:c>
      <x:c r="F53" s="19" t="str">
        <x:v>DRAFT</x:v>
      </x:c>
      <x:c r="G53" s="19" t="str">
        <x:v>PREPARED_NOT_DELIVERED</x:v>
      </x:c>
      <x:c r="H53" s="19" t="str">
        <x:v>Architecture</x:v>
      </x:c>
      <x:c r="I53" s="19" t="str">
        <x:v>AAI-SRC-0034</x:v>
      </x:c>
      <x:c r="J53" s="19" t="str">
        <x:v>AAI-DEC-0013..0019</x:v>
      </x:c>
      <x:c r="K53" s="19" t="str"/>
      <x:c r="L53" s="19" t="str">
        <x:v>Operational Devin handoff and autonomy gates</x:v>
      </x:c>
    </x:row>
    <x:row r="54" ht="42" customHeight="1">
      <x:c r="A54" s="19" t="str">
        <x:v>HAPPY-KNOW-40</x:v>
      </x:c>
      <x:c r="B54" s="19" t="str">
        <x:v>Bootstrap Asset Assessment</x:v>
      </x:c>
      <x:c r="C54" s="19" t="str">
        <x:v>Knowledge Compiler</x:v>
      </x:c>
      <x:c r="D54" s="19" t="str">
        <x:v>Assessment</x:v>
      </x:c>
      <x:c r="E54" s="19" t="str">
        <x:v>0.1.0-draft</x:v>
      </x:c>
      <x:c r="F54" s="19" t="str">
        <x:v>DRAFT</x:v>
      </x:c>
      <x:c r="G54" s="19" t="str">
        <x:v>PREPARED_NOT_DELIVERED</x:v>
      </x:c>
      <x:c r="H54" s="19" t="str">
        <x:v>Architecture</x:v>
      </x:c>
      <x:c r="I54" s="19" t="str">
        <x:v>AAI-SRC-0034</x:v>
      </x:c>
      <x:c r="J54" s="19" t="str">
        <x:v>AAI-DEC-0013</x:v>
      </x:c>
      <x:c r="K54" s="19" t="str"/>
      <x:c r="L54" s="19" t="str">
        <x:v>Bootstrap assets mapped to Seed docs without duplication</x:v>
      </x:c>
    </x:row>
    <x:row r="55" ht="42" customHeight="1">
      <x:c r="A55" s="19" t="str">
        <x:v>HAPPY-KNOW-41</x:v>
      </x:c>
      <x:c r="B55" s="19" t="str">
        <x:v>Evolution Strategy Draft</x:v>
      </x:c>
      <x:c r="C55" s="19" t="str">
        <x:v>Architecture</x:v>
      </x:c>
      <x:c r="D55" s="19" t="str">
        <x:v>Strategy</x:v>
      </x:c>
      <x:c r="E55" s="19" t="str">
        <x:v>0.1.0-draft</x:v>
      </x:c>
      <x:c r="F55" s="19" t="str">
        <x:v>DRAFT</x:v>
      </x:c>
      <x:c r="G55" s="19" t="str">
        <x:v>PREPARED_NOT_DELIVERED</x:v>
      </x:c>
      <x:c r="H55" s="19" t="str">
        <x:v>Architecture</x:v>
      </x:c>
      <x:c r="I55" s="19" t="str">
        <x:v>AAI-SRC-0034</x:v>
      </x:c>
      <x:c r="J55" s="19" t="str">
        <x:v>AAI-DEC-0016; AAI-DEC-0019</x:v>
      </x:c>
      <x:c r="K55" s="19" t="str"/>
      <x:c r="L55" s="19" t="str">
        <x:v>NOW/NEXT/LATER; Blueprint remains proposal</x:v>
      </x:c>
    </x:row>
    <x:row r="56" ht="42" customHeight="1">
      <x:c r="A56" s="19" t="str">
        <x:v>HAPPY-KNOW-42</x:v>
      </x:c>
      <x:c r="B56" s="19" t="str">
        <x:v>Bootstrap Skill Candidates</x:v>
      </x:c>
      <x:c r="C56" s="19" t="str">
        <x:v>Agents</x:v>
      </x:c>
      <x:c r="D56" s="19" t="str">
        <x:v>Skill Catalog</x:v>
      </x:c>
      <x:c r="E56" s="19" t="str">
        <x:v>0.1.0-draft</x:v>
      </x:c>
      <x:c r="F56" s="19" t="str">
        <x:v>DRAFT</x:v>
      </x:c>
      <x:c r="G56" s="19" t="str">
        <x:v>PREPARED_NOT_DELIVERED</x:v>
      </x:c>
      <x:c r="H56" s="19" t="str">
        <x:v>Architecture/Engineering</x:v>
      </x:c>
      <x:c r="I56" s="19" t="str">
        <x:v>AAI-SRC-0034</x:v>
      </x:c>
      <x:c r="J56" s="19" t="str">
        <x:v>AAI-DEC-0015; AAI-DEC-0019</x:v>
      </x:c>
      <x:c r="K56" s="19" t="str"/>
      <x:c r="L56" s="19" t="str">
        <x:v>8 candidates remain PROPOSAL; linked to 0009/0010</x:v>
      </x:c>
    </x:row>
    <x:row r="57" ht="42" customHeight="1">
      <x:c r="A57" s="19" t="str">
        <x:v>HAPPY-KNOW-43</x:v>
      </x:c>
      <x:c r="B57" s="19" t="str">
        <x:v>Source Extraction Requests</x:v>
      </x:c>
      <x:c r="C57" s="19" t="str">
        <x:v>Knowledge Compiler</x:v>
      </x:c>
      <x:c r="D57" s="19" t="str">
        <x:v>Source Request Register</x:v>
      </x:c>
      <x:c r="E57" s="19" t="str">
        <x:v>0.1.0-draft</x:v>
      </x:c>
      <x:c r="F57" s="19" t="str">
        <x:v>DRAFT</x:v>
      </x:c>
      <x:c r="G57" s="19" t="str">
        <x:v>PREPARED_NOT_DELIVERED</x:v>
      </x:c>
      <x:c r="H57" s="19" t="str">
        <x:v>Architecture</x:v>
      </x:c>
      <x:c r="I57" s="19" t="str">
        <x:v>AAI-SRC-0034</x:v>
      </x:c>
      <x:c r="J57" s="19" t="str"/>
      <x:c r="K57" s="19" t="str"/>
      <x:c r="L57" s="19" t="str">
        <x:v>Acceptance source order SER-002→SER-003→SER-006; statuses unchanged</x:v>
      </x:c>
    </x:row>
    <x:row r="58" ht="42" customHeight="1">
      <x:c r="A58" s="19" t="str">
        <x:v>HAPPY-KNOW-44</x:v>
      </x:c>
      <x:c r="B58" s="19" t="str">
        <x:v>No-Loss Review</x:v>
      </x:c>
      <x:c r="C58" s="19" t="str">
        <x:v>Quality</x:v>
      </x:c>
      <x:c r="D58" s="19" t="str">
        <x:v>Readiness Checklist</x:v>
      </x:c>
      <x:c r="E58" s="19" t="str">
        <x:v>0.1.0-draft</x:v>
      </x:c>
      <x:c r="F58" s="19" t="str">
        <x:v>DRAFT</x:v>
      </x:c>
      <x:c r="G58" s="19" t="str">
        <x:v>PREPARED_NOT_DELIVERED</x:v>
      </x:c>
      <x:c r="H58" s="19" t="str">
        <x:v>Architecture/QA</x:v>
      </x:c>
      <x:c r="I58" s="19" t="str">
        <x:v>AAI-SRC-0034</x:v>
      </x:c>
      <x:c r="J58" s="19" t="str">
        <x:v>AAI-DEC-0013</x:v>
      </x:c>
      <x:c r="K58" s="19" t="str"/>
      <x:c r="L58" s="19" t="str">
        <x:v>Observed acceptance delta fully mapped; operational No-Loss remains unproven</x:v>
      </x:c>
    </x:row>
    <x:row r="59" ht="42" customHeight="1">
      <x:c r="A59" s="19" t="str">
        <x:v>HAPPY-KNOW-45</x:v>
      </x:c>
      <x:c r="B59" s="19" t="str">
        <x:v>Oleada 3 Execution Boundary</x:v>
      </x:c>
      <x:c r="C59" s="19" t="str">
        <x:v>Delivery</x:v>
      </x:c>
      <x:c r="D59" s="19" t="str">
        <x:v>Execution Boundary</x:v>
      </x:c>
      <x:c r="E59" s="19" t="str">
        <x:v>0.1.0-draft</x:v>
      </x:c>
      <x:c r="F59" s="19" t="str">
        <x:v>DRAFT</x:v>
      </x:c>
      <x:c r="G59" s="19" t="str">
        <x:v>PREPARED_NOT_DELIVERED</x:v>
      </x:c>
      <x:c r="H59" s="19" t="str">
        <x:v>Architecture</x:v>
      </x:c>
      <x:c r="I59" s="19" t="str">
        <x:v>AAI-SRC-0034</x:v>
      </x:c>
      <x:c r="J59" s="19" t="str">
        <x:v>AAI-DEC-0017; AAI-DEC-0018</x:v>
      </x:c>
      <x:c r="K59" s="19" t="str"/>
      <x:c r="L59" s="19" t="str">
        <x:v>3C documentary boundary closed; no implementation/acceptance/Git sync</x:v>
      </x:c>
    </x:row>
    <x:row r="60" ht="42" customHeight="1">
      <x:c r="A60" s="19" t="str">
        <x:v>HAPPY-KNOW-46</x:v>
      </x:c>
      <x:c r="B60" s="19" t="str">
        <x:v>Alignment Status Before Oleada 3</x:v>
      </x:c>
      <x:c r="C60" s="19" t="str">
        <x:v>Knowledge Compiler</x:v>
      </x:c>
      <x:c r="D60" s="19" t="str">
        <x:v>Status</x:v>
      </x:c>
      <x:c r="E60" s="19" t="str">
        <x:v>0.1.0-draft</x:v>
      </x:c>
      <x:c r="F60" s="19" t="str">
        <x:v>DRAFT</x:v>
      </x:c>
      <x:c r="G60" s="19" t="str">
        <x:v>PREPARED_NOT_DELIVERED</x:v>
      </x:c>
      <x:c r="H60" s="19" t="str">
        <x:v>Architecture</x:v>
      </x:c>
      <x:c r="I60" s="19" t="str">
        <x:v>AAI-SRC-0034</x:v>
      </x:c>
      <x:c r="J60" s="19" t="str">
        <x:v>AAI-DEC-0013..0019</x:v>
      </x:c>
      <x:c r="K60" s="19" t="str">
        <x:v>HK-DGM-0004..0008</x:v>
      </x:c>
      <x:c r="L60" s="19" t="str">
        <x:v>Final 12-point alignment status; P-ALIGN-01 reconciled</x:v>
      </x:c>
    </x:row>
    <x:row r="61" ht="42" customHeight="1">
      <x:c r="A61" s="19" t="str">
        <x:v>AAI-SPEC-0004</x:v>
      </x:c>
      <x:c r="B61" s="19" t="str">
        <x:v>Canonical Knowledge Promotion</x:v>
      </x:c>
      <x:c r="C61" s="19" t="str">
        <x:v>Specification</x:v>
      </x:c>
      <x:c r="D61" s="19" t="str">
        <x:v>Technical Spec</x:v>
      </x:c>
      <x:c r="E61" s="19" t="str">
        <x:v>0.1.0-draft</x:v>
      </x:c>
      <x:c r="F61" s="19" t="str">
        <x:v>DRAFT</x:v>
      </x:c>
      <x:c r="G61" s="19" t="str">
        <x:v>PREPARED_NOT_DELIVERED</x:v>
      </x:c>
      <x:c r="H61" s="19" t="str">
        <x:v>Knowledge/Engineering</x:v>
      </x:c>
      <x:c r="I61" s="19" t="str">
        <x:v>AAI-SRC-0014; AAI-SRC-0029</x:v>
      </x:c>
      <x:c r="J61" s="19" t="str">
        <x:v>AAI-DEC-0003; AAI-DEC-0009</x:v>
      </x:c>
      <x:c r="K61" s="19" t="str">
        <x:v>HK-DGM-0004</x:v>
      </x:c>
      <x:c r="L61" s="19" t="str">
        <x:v>Formalized; implementation NOT_OBSERVED</x:v>
      </x:c>
    </x:row>
    <x:row r="62" ht="42" customHeight="1">
      <x:c r="A62" s="19" t="str">
        <x:v>AAI-SPEC-0005</x:v>
      </x:c>
      <x:c r="B62" s="19" t="str">
        <x:v>Context Resolver &amp; Architecture Work Package</x:v>
      </x:c>
      <x:c r="C62" s="19" t="str">
        <x:v>Specification</x:v>
      </x:c>
      <x:c r="D62" s="19" t="str">
        <x:v>Technical Spec</x:v>
      </x:c>
      <x:c r="E62" s="19" t="str">
        <x:v>0.1.0-draft</x:v>
      </x:c>
      <x:c r="F62" s="19" t="str">
        <x:v>DRAFT</x:v>
      </x:c>
      <x:c r="G62" s="19" t="str">
        <x:v>PREPARED_NOT_DELIVERED</x:v>
      </x:c>
      <x:c r="H62" s="19" t="str">
        <x:v>Knowledge/Engineering</x:v>
      </x:c>
      <x:c r="I62" s="19" t="str">
        <x:v>AAI-SRC-0014; AAI-SRC-0029</x:v>
      </x:c>
      <x:c r="J62" s="19" t="str">
        <x:v>AAI-DEC-0004</x:v>
      </x:c>
      <x:c r="K62" s="19" t="str">
        <x:v>HK-DGM-0005</x:v>
      </x:c>
      <x:c r="L62" s="19" t="str">
        <x:v>Formalized; partial implementation reported, not verified</x:v>
      </x:c>
    </x:row>
    <x:row r="63" ht="42" customHeight="1">
      <x:c r="A63" s="19" t="str">
        <x:v>AAI-SPEC-0006</x:v>
      </x:c>
      <x:c r="B63" s="19" t="str">
        <x:v>Tool Policy Enforcement &amp; Approval</x:v>
      </x:c>
      <x:c r="C63" s="19" t="str">
        <x:v>Specification</x:v>
      </x:c>
      <x:c r="D63" s="19" t="str">
        <x:v>Technical Spec</x:v>
      </x:c>
      <x:c r="E63" s="19" t="str">
        <x:v>0.1.0-draft</x:v>
      </x:c>
      <x:c r="F63" s="19" t="str">
        <x:v>DRAFT</x:v>
      </x:c>
      <x:c r="G63" s="19" t="str">
        <x:v>PREPARED_NOT_DELIVERED</x:v>
      </x:c>
      <x:c r="H63" s="19" t="str">
        <x:v>Security/Engineering</x:v>
      </x:c>
      <x:c r="I63" s="19" t="str">
        <x:v>AAI-SRC-0029</x:v>
      </x:c>
      <x:c r="J63" s="19" t="str">
        <x:v>AAI-DEC-0009; AAI-DEC-0015</x:v>
      </x:c>
      <x:c r="K63" s="19" t="str">
        <x:v>HK-DGM-0006</x:v>
      </x:c>
      <x:c r="L63" s="19" t="str">
        <x:v>Formalized; implementation NOT_OBSERVED</x:v>
      </x:c>
    </x:row>
    <x:row r="64" ht="42" customHeight="1">
      <x:c r="A64" s="19" t="str">
        <x:v>AAI-SPEC-0007</x:v>
      </x:c>
      <x:c r="B64" s="19" t="str">
        <x:v>Governed Context Ingestion &amp; Reconciliation</x:v>
      </x:c>
      <x:c r="C64" s="19" t="str">
        <x:v>Specification</x:v>
      </x:c>
      <x:c r="D64" s="19" t="str">
        <x:v>Technical Spec</x:v>
      </x:c>
      <x:c r="E64" s="19" t="str">
        <x:v>0.1.0-draft</x:v>
      </x:c>
      <x:c r="F64" s="19" t="str">
        <x:v>DRAFT</x:v>
      </x:c>
      <x:c r="G64" s="19" t="str">
        <x:v>PREPARED_NOT_DELIVERED</x:v>
      </x:c>
      <x:c r="H64" s="19" t="str">
        <x:v>Knowledge/Engineering</x:v>
      </x:c>
      <x:c r="I64" s="19" t="str">
        <x:v>AAI-SRC-0014; AAI-SRC-0029</x:v>
      </x:c>
      <x:c r="J64" s="19" t="str">
        <x:v>AAI-DEC-0009</x:v>
      </x:c>
      <x:c r="K64" s="19" t="str">
        <x:v>HK-DGM-0007</x:v>
      </x:c>
      <x:c r="L64" s="19" t="str">
        <x:v>Formalized; partial implementation reported, not verified</x:v>
      </x:c>
    </x:row>
    <x:row r="65" ht="42" customHeight="1">
      <x:c r="A65" s="19" t="str">
        <x:v>AAI-SPEC-0008</x:v>
      </x:c>
      <x:c r="B65" s="19" t="str">
        <x:v>Projection Manager, Readiness &amp; Recovery</x:v>
      </x:c>
      <x:c r="C65" s="19" t="str">
        <x:v>Specification</x:v>
      </x:c>
      <x:c r="D65" s="19" t="str">
        <x:v>Technical Spec</x:v>
      </x:c>
      <x:c r="E65" s="19" t="str">
        <x:v>0.1.0-draft</x:v>
      </x:c>
      <x:c r="F65" s="19" t="str">
        <x:v>DRAFT</x:v>
      </x:c>
      <x:c r="G65" s="19" t="str">
        <x:v>PREPARED_NOT_DELIVERED</x:v>
      </x:c>
      <x:c r="H65" s="19" t="str">
        <x:v>Data/Engineering</x:v>
      </x:c>
      <x:c r="I65" s="19" t="str">
        <x:v>AAI-SRC-0014; AAI-SRC-0029</x:v>
      </x:c>
      <x:c r="J65" s="19" t="str">
        <x:v>AAI-DEC-0003; AAI-DEC-0006</x:v>
      </x:c>
      <x:c r="K65" s="19" t="str">
        <x:v>HK-DGM-0008</x:v>
      </x:c>
      <x:c r="L65" s="19" t="str">
        <x:v>Formalized; implemented reported, not verified</x:v>
      </x:c>
    </x:row>
    <x:row r="66" ht="42" customHeight="1">
      <x:c r="A66" s="19" t="str">
        <x:v>AAI-SCHEMA-0001</x:v>
      </x:c>
      <x:c r="B66" s="19" t="str">
        <x:v>Common contract definitions</x:v>
      </x:c>
      <x:c r="C66" s="19" t="str">
        <x:v>Contracts</x:v>
      </x:c>
      <x:c r="D66" s="19" t="str">
        <x:v>JSON Schema</x:v>
      </x:c>
      <x:c r="E66" s="19" t="str">
        <x:v>0.1.0-draft</x:v>
      </x:c>
      <x:c r="F66" s="19" t="str">
        <x:v>DRAFT</x:v>
      </x:c>
      <x:c r="G66" s="19" t="str">
        <x:v>PREPARED_NOT_DELIVERED</x:v>
      </x:c>
      <x:c r="H66" s="19" t="str">
        <x:v>Architecture/Engineering</x:v>
      </x:c>
      <x:c r="I66" s="19" t="str">
        <x:v>AAI-SRC-0025</x:v>
      </x:c>
      <x:c r="J66" s="19" t="str"/>
      <x:c r="K66" s="19" t="str"/>
      <x:c r="L66" s="19" t="str">
        <x:v>JSON Schema 2020-12; syntax validated</x:v>
      </x:c>
    </x:row>
    <x:row r="67" ht="42" customHeight="1">
      <x:c r="A67" s="19" t="str">
        <x:v>AAI-SCHEMA-0002</x:v>
      </x:c>
      <x:c r="B67" s="19" t="str">
        <x:v>Architecture Work Package</x:v>
      </x:c>
      <x:c r="C67" s="19" t="str">
        <x:v>Contracts</x:v>
      </x:c>
      <x:c r="D67" s="19" t="str">
        <x:v>JSON Schema</x:v>
      </x:c>
      <x:c r="E67" s="19" t="str">
        <x:v>0.1.0-draft</x:v>
      </x:c>
      <x:c r="F67" s="19" t="str">
        <x:v>DRAFT</x:v>
      </x:c>
      <x:c r="G67" s="19" t="str">
        <x:v>PREPARED_NOT_DELIVERED</x:v>
      </x:c>
      <x:c r="H67" s="19" t="str">
        <x:v>Knowledge/Engineering</x:v>
      </x:c>
      <x:c r="I67" s="19" t="str">
        <x:v>AAI-SRC-0014; AAI-SRC-0025</x:v>
      </x:c>
      <x:c r="J67" s="19" t="str">
        <x:v>AAI-DEC-0004</x:v>
      </x:c>
      <x:c r="K67" s="19" t="str">
        <x:v>HK-DGM-0005</x:v>
      </x:c>
      <x:c r="L67" s="19" t="str">
        <x:v>Subordinate to AAI-SPEC-0005</x:v>
      </x:c>
    </x:row>
    <x:row r="68" ht="42" customHeight="1">
      <x:c r="A68" s="19" t="str">
        <x:v>AAI-SCHEMA-0003</x:v>
      </x:c>
      <x:c r="B68" s="19" t="str">
        <x:v>Knowledge Candidate</x:v>
      </x:c>
      <x:c r="C68" s="19" t="str">
        <x:v>Contracts</x:v>
      </x:c>
      <x:c r="D68" s="19" t="str">
        <x:v>JSON Schema</x:v>
      </x:c>
      <x:c r="E68" s="19" t="str">
        <x:v>0.1.0-draft</x:v>
      </x:c>
      <x:c r="F68" s="19" t="str">
        <x:v>DRAFT</x:v>
      </x:c>
      <x:c r="G68" s="19" t="str">
        <x:v>PREPARED_NOT_DELIVERED</x:v>
      </x:c>
      <x:c r="H68" s="19" t="str">
        <x:v>Knowledge/Engineering</x:v>
      </x:c>
      <x:c r="I68" s="19" t="str">
        <x:v>AAI-SRC-0014; AAI-SRC-0025</x:v>
      </x:c>
      <x:c r="J68" s="19" t="str">
        <x:v>AAI-DEC-0009</x:v>
      </x:c>
      <x:c r="K68" s="19" t="str">
        <x:v>HK-DGM-0004; HK-DGM-0007</x:v>
      </x:c>
      <x:c r="L68" s="19" t="str">
        <x:v>Subordinate to 0004/0007</x:v>
      </x:c>
    </x:row>
    <x:row r="69" ht="42" customHeight="1">
      <x:c r="A69" s="19" t="str">
        <x:v>AAI-SCHEMA-0004</x:v>
      </x:c>
      <x:c r="B69" s="19" t="str">
        <x:v>Tool Policy Decision</x:v>
      </x:c>
      <x:c r="C69" s="19" t="str">
        <x:v>Contracts</x:v>
      </x:c>
      <x:c r="D69" s="19" t="str">
        <x:v>JSON Schema</x:v>
      </x:c>
      <x:c r="E69" s="19" t="str">
        <x:v>0.1.0-draft</x:v>
      </x:c>
      <x:c r="F69" s="19" t="str">
        <x:v>DRAFT</x:v>
      </x:c>
      <x:c r="G69" s="19" t="str">
        <x:v>PREPARED_NOT_DELIVERED</x:v>
      </x:c>
      <x:c r="H69" s="19" t="str">
        <x:v>Security/Engineering</x:v>
      </x:c>
      <x:c r="I69" s="19" t="str">
        <x:v>AAI-SRC-0025; AAI-SRC-0029</x:v>
      </x:c>
      <x:c r="J69" s="19" t="str">
        <x:v>AAI-DEC-0009; AAI-DEC-0015</x:v>
      </x:c>
      <x:c r="K69" s="19" t="str">
        <x:v>HK-DGM-0006</x:v>
      </x:c>
      <x:c r="L69" s="19" t="str">
        <x:v>Subordinate to AAI-SPEC-0006</x:v>
      </x:c>
    </x:row>
    <x:row r="70" ht="42" customHeight="1">
      <x:c r="A70" s="19" t="str">
        <x:v>AAI-SCHEMA-0005</x:v>
      </x:c>
      <x:c r="B70" s="19" t="str">
        <x:v>Governed Ingestion Receipt</x:v>
      </x:c>
      <x:c r="C70" s="19" t="str">
        <x:v>Contracts</x:v>
      </x:c>
      <x:c r="D70" s="19" t="str">
        <x:v>JSON Schema</x:v>
      </x:c>
      <x:c r="E70" s="19" t="str">
        <x:v>0.1.0-draft</x:v>
      </x:c>
      <x:c r="F70" s="19" t="str">
        <x:v>DRAFT</x:v>
      </x:c>
      <x:c r="G70" s="19" t="str">
        <x:v>PREPARED_NOT_DELIVERED</x:v>
      </x:c>
      <x:c r="H70" s="19" t="str">
        <x:v>Knowledge/Engineering</x:v>
      </x:c>
      <x:c r="I70" s="19" t="str">
        <x:v>AAI-SRC-0014; AAI-SRC-0025</x:v>
      </x:c>
      <x:c r="J70" s="19" t="str">
        <x:v>AAI-DEC-0009</x:v>
      </x:c>
      <x:c r="K70" s="19" t="str">
        <x:v>HK-DGM-0007</x:v>
      </x:c>
      <x:c r="L70" s="19" t="str">
        <x:v>Subordinate to AAI-SPEC-0007</x:v>
      </x:c>
    </x:row>
    <x:row r="71" ht="42" customHeight="1">
      <x:c r="A71" s="19" t="str">
        <x:v>AAI-SCHEMA-0006</x:v>
      </x:c>
      <x:c r="B71" s="19" t="str">
        <x:v>Projection Status</x:v>
      </x:c>
      <x:c r="C71" s="19" t="str">
        <x:v>Contracts</x:v>
      </x:c>
      <x:c r="D71" s="19" t="str">
        <x:v>JSON Schema</x:v>
      </x:c>
      <x:c r="E71" s="19" t="str">
        <x:v>0.1.0-draft</x:v>
      </x:c>
      <x:c r="F71" s="19" t="str">
        <x:v>DRAFT</x:v>
      </x:c>
      <x:c r="G71" s="19" t="str">
        <x:v>PREPARED_NOT_DELIVERED</x:v>
      </x:c>
      <x:c r="H71" s="19" t="str">
        <x:v>Data/Engineering</x:v>
      </x:c>
      <x:c r="I71" s="19" t="str">
        <x:v>AAI-SRC-0014; AAI-SRC-0025</x:v>
      </x:c>
      <x:c r="J71" s="19" t="str">
        <x:v>AAI-DEC-0006</x:v>
      </x:c>
      <x:c r="K71" s="19" t="str">
        <x:v>HK-DGM-0008</x:v>
      </x:c>
      <x:c r="L71" s="19" t="str">
        <x:v>Subordinate to AAI-SPEC-0008</x:v>
      </x:c>
    </x:row>
    <x:row r="72" ht="42" customHeight="1">
      <x:c r="A72" s="19" t="str">
        <x:v>AAI-SCHEMA-0007</x:v>
      </x:c>
      <x:c r="B72" s="19" t="str">
        <x:v>Canonical Promotion Request</x:v>
      </x:c>
      <x:c r="C72" s="19" t="str">
        <x:v>Contracts</x:v>
      </x:c>
      <x:c r="D72" s="19" t="str">
        <x:v>JSON Schema</x:v>
      </x:c>
      <x:c r="E72" s="19" t="str">
        <x:v>0.1.0-draft</x:v>
      </x:c>
      <x:c r="F72" s="19" t="str">
        <x:v>DRAFT</x:v>
      </x:c>
      <x:c r="G72" s="19" t="str">
        <x:v>PREPARED_NOT_DELIVERED</x:v>
      </x:c>
      <x:c r="H72" s="19" t="str">
        <x:v>Knowledge/Engineering</x:v>
      </x:c>
      <x:c r="I72" s="19" t="str">
        <x:v>AAI-SRC-0014; AAI-SRC-0025</x:v>
      </x:c>
      <x:c r="J72" s="19" t="str">
        <x:v>AAI-DEC-0003; AAI-DEC-0009</x:v>
      </x:c>
      <x:c r="K72" s="19" t="str">
        <x:v>HK-DGM-0004</x:v>
      </x:c>
      <x:c r="L72" s="19" t="str">
        <x:v>Subordinate to AAI-SPEC-0004</x:v>
      </x:c>
    </x:row>
    <x:row r="73" ht="48" customHeight="1">
      <x:c r="A73" s="19" t="str">
        <x:v>HAPPY-KNOW-47</x:v>
      </x:c>
      <x:c r="B73" s="19" t="str">
        <x:v>Alignment Delta Manifest</x:v>
      </x:c>
      <x:c r="C73" s="19" t="str">
        <x:v>Knowledge Compiler</x:v>
      </x:c>
      <x:c r="D73" s="19" t="str">
        <x:v>Manifest</x:v>
      </x:c>
      <x:c r="E73" s="19" t="str">
        <x:v>0.1.0-draft</x:v>
      </x:c>
      <x:c r="F73" s="19" t="str">
        <x:v>DRAFT</x:v>
      </x:c>
      <x:c r="G73" s="19" t="str">
        <x:v>PREPARED_NOT_DELIVERED</x:v>
      </x:c>
      <x:c r="H73" s="19" t="str">
        <x:v>Architecture/Delivery</x:v>
      </x:c>
      <x:c r="I73" s="19" t="str">
        <x:v>AAI-SRC-0034; AAI-SRC-0036</x:v>
      </x:c>
      <x:c r="J73" s="19" t="str">
        <x:v>AAI-DEC-0013..0019</x:v>
      </x:c>
      <x:c r="K73" s="19" t="str"/>
      <x:c r="L73" s="19" t="str">
        <x:v>Records the additive alignment delta while preserving the validated dossier and base ZIP</x:v>
      </x:c>
    </x:row>
    <x:row r="74" ht="48" customHeight="1">
      <x:c r="A74" s="19" t="str">
        <x:v>HAPPY-KNOW-48</x:v>
      </x:c>
      <x:c r="B74" s="19" t="str">
        <x:v>Alignment Validation Report</x:v>
      </x:c>
      <x:c r="C74" s="19" t="str">
        <x:v>Quality</x:v>
      </x:c>
      <x:c r="D74" s="19" t="str">
        <x:v>Validation Report</x:v>
      </x:c>
      <x:c r="E74" s="19" t="str">
        <x:v>0.1.0-draft</x:v>
      </x:c>
      <x:c r="F74" s="19" t="str">
        <x:v>DRAFT</x:v>
      </x:c>
      <x:c r="G74" s="19" t="str">
        <x:v>PREPARED_NOT_DELIVERED</x:v>
      </x:c>
      <x:c r="H74" s="19" t="str">
        <x:v>Architecture/QA</x:v>
      </x:c>
      <x:c r="I74" s="19" t="str">
        <x:v>AAI-SRC-0036</x:v>
      </x:c>
      <x:c r="J74" s="19" t="str">
        <x:v>AAI-DEC-0013</x:v>
      </x:c>
      <x:c r="K74" s="19" t="str"/>
      <x:c r="L74" s="19" t="str">
        <x:v>PASS_WITH_OPEN_READINESS_GAPS; validates alignment artifacts without declaring handoff readiness</x:v>
      </x:c>
    </x:row>
    <x:row r="75" ht="44" customHeight="1">
      <x:c r="A75" s="19" t="str">
        <x:v>AAI-SPEC-0009</x:v>
      </x:c>
      <x:c r="B75" s="19" t="str">
        <x:v>Task, Delegation &amp; Work Lifecycle</x:v>
      </x:c>
      <x:c r="C75" s="19" t="str">
        <x:v>Specification</x:v>
      </x:c>
      <x:c r="D75" s="19" t="str">
        <x:v>Technical Spec</x:v>
      </x:c>
      <x:c r="E75" s="19" t="str">
        <x:v>0.2.0-draft</x:v>
      </x:c>
      <x:c r="F75" s="19" t="str">
        <x:v>DRAFT</x:v>
      </x:c>
      <x:c r="G75" s="19" t="str">
        <x:v>PREPARED_NOT_DELIVERED</x:v>
      </x:c>
      <x:c r="H75" s="19" t="str">
        <x:v>Architecture/Engineering</x:v>
      </x:c>
      <x:c r="I75" s="19" t="str">
        <x:v>AAI-SRC-0037; AAI-SRC-0038; AAI-SRC-0039</x:v>
      </x:c>
      <x:c r="J75" s="19" t="str">
        <x:v>AAI-DEC-0004; 0014; 0015; 0020</x:v>
      </x:c>
      <x:c r="K75" s="19" t="str">
        <x:v>HK-DGM-0009; 0011; 0012; 0018</x:v>
      </x:c>
      <x:c r="L75" s="19" t="str">
        <x:v>Work &amp; Session Metamodel enriched; implementation NOT_VERIFIED</x:v>
      </x:c>
    </x:row>
    <x:row r="76" ht="44" customHeight="1">
      <x:c r="A76" s="19" t="str">
        <x:v>AAI-SPEC-0010</x:v>
      </x:c>
      <x:c r="B76" s="19" t="str">
        <x:v>Question &amp; Knowledge Request Lifecycle</x:v>
      </x:c>
      <x:c r="C76" s="19" t="str">
        <x:v>Specification</x:v>
      </x:c>
      <x:c r="D76" s="19" t="str">
        <x:v>Technical Spec</x:v>
      </x:c>
      <x:c r="E76" s="19" t="str">
        <x:v>0.1.0-draft</x:v>
      </x:c>
      <x:c r="F76" s="19" t="str">
        <x:v>DRAFT</x:v>
      </x:c>
      <x:c r="G76" s="19" t="str">
        <x:v>PREPARED_NOT_DELIVERED</x:v>
      </x:c>
      <x:c r="H76" s="19" t="str">
        <x:v>Knowledge/Architecture</x:v>
      </x:c>
      <x:c r="I76" s="19" t="str">
        <x:v>AAI-SRC-0037; AAI-SRC-0038</x:v>
      </x:c>
      <x:c r="J76" s="19" t="str">
        <x:v>AAI-DEC-0009; AAI-DEC-0015</x:v>
      </x:c>
      <x:c r="K76" s="19" t="str">
        <x:v>HK-DGM-0010; HK-DGM-0011; HK-DGM-0012</x:v>
      </x:c>
      <x:c r="L76" s="19" t="str">
        <x:v>Formalized; implementation NOT_OBSERVED</x:v>
      </x:c>
    </x:row>
    <x:row r="77" ht="44" customHeight="1">
      <x:c r="A77" s="19" t="str">
        <x:v>AAI-SCHEMA-0008</x:v>
      </x:c>
      <x:c r="B77" s="19" t="str">
        <x:v>Domain Event Envelope</x:v>
      </x:c>
      <x:c r="C77" s="19" t="str">
        <x:v>Contracts</x:v>
      </x:c>
      <x:c r="D77" s="19" t="str">
        <x:v>JSON Schema</x:v>
      </x:c>
      <x:c r="E77" s="19" t="str">
        <x:v>0.1.0-draft</x:v>
      </x:c>
      <x:c r="F77" s="19" t="str">
        <x:v>DRAFT</x:v>
      </x:c>
      <x:c r="G77" s="19" t="str">
        <x:v>PREPARED_NOT_DELIVERED</x:v>
      </x:c>
      <x:c r="H77" s="19" t="str">
        <x:v>Architecture/Engineering</x:v>
      </x:c>
      <x:c r="I77" s="19" t="str">
        <x:v>AAI-SRC-0038</x:v>
      </x:c>
      <x:c r="J77" s="19" t="str"/>
      <x:c r="K77" s="19" t="str">
        <x:v>HK-DGM-0012</x:v>
      </x:c>
      <x:c r="L77" s="19" t="str">
        <x:v>Provisional shared contract; AAI-SPEC-0036 remains DISCOVERED</x:v>
      </x:c>
    </x:row>
    <x:row r="78" ht="44" customHeight="1">
      <x:c r="A78" s="19" t="str">
        <x:v>AAI-SCHEMA-0009</x:v>
      </x:c>
      <x:c r="B78" s="19" t="str">
        <x:v>Architecture Task</x:v>
      </x:c>
      <x:c r="C78" s="19" t="str">
        <x:v>Contracts</x:v>
      </x:c>
      <x:c r="D78" s="19" t="str">
        <x:v>JSON Schema</x:v>
      </x:c>
      <x:c r="E78" s="19" t="str">
        <x:v>0.1.0-draft</x:v>
      </x:c>
      <x:c r="F78" s="19" t="str">
        <x:v>DRAFT</x:v>
      </x:c>
      <x:c r="G78" s="19" t="str">
        <x:v>PREPARED_NOT_DELIVERED</x:v>
      </x:c>
      <x:c r="H78" s="19" t="str">
        <x:v>Architecture/Engineering</x:v>
      </x:c>
      <x:c r="I78" s="19" t="str">
        <x:v>AAI-SRC-0038</x:v>
      </x:c>
      <x:c r="J78" s="19" t="str">
        <x:v>AAI-DEC-0004; AAI-DEC-0015</x:v>
      </x:c>
      <x:c r="K78" s="19" t="str">
        <x:v>HK-DGM-0009</x:v>
      </x:c>
      <x:c r="L78" s="19" t="str">
        <x:v>Subordinate to AAI-SPEC-0009</x:v>
      </x:c>
    </x:row>
    <x:row r="79" ht="44" customHeight="1">
      <x:c r="A79" s="19" t="str">
        <x:v>AAI-SCHEMA-0010</x:v>
      </x:c>
      <x:c r="B79" s="19" t="str">
        <x:v>Delegation Record</x:v>
      </x:c>
      <x:c r="C79" s="19" t="str">
        <x:v>Contracts</x:v>
      </x:c>
      <x:c r="D79" s="19" t="str">
        <x:v>JSON Schema</x:v>
      </x:c>
      <x:c r="E79" s="19" t="str">
        <x:v>0.1.0-draft</x:v>
      </x:c>
      <x:c r="F79" s="19" t="str">
        <x:v>DRAFT</x:v>
      </x:c>
      <x:c r="G79" s="19" t="str">
        <x:v>PREPARED_NOT_DELIVERED</x:v>
      </x:c>
      <x:c r="H79" s="19" t="str">
        <x:v>Architecture/Engineering</x:v>
      </x:c>
      <x:c r="I79" s="19" t="str">
        <x:v>AAI-SRC-0038</x:v>
      </x:c>
      <x:c r="J79" s="19" t="str">
        <x:v>AAI-DEC-0015</x:v>
      </x:c>
      <x:c r="K79" s="19" t="str">
        <x:v>HK-DGM-0011</x:v>
      </x:c>
      <x:c r="L79" s="19" t="str">
        <x:v>Subordinate to AAI-SPEC-0009</x:v>
      </x:c>
    </x:row>
    <x:row r="80" ht="44" customHeight="1">
      <x:c r="A80" s="19" t="str">
        <x:v>AAI-SCHEMA-0011</x:v>
      </x:c>
      <x:c r="B80" s="19" t="str">
        <x:v>Work Lifecycle Event</x:v>
      </x:c>
      <x:c r="C80" s="19" t="str">
        <x:v>Contracts</x:v>
      </x:c>
      <x:c r="D80" s="19" t="str">
        <x:v>JSON Schema</x:v>
      </x:c>
      <x:c r="E80" s="19" t="str">
        <x:v>0.1.0-draft</x:v>
      </x:c>
      <x:c r="F80" s="19" t="str">
        <x:v>DRAFT</x:v>
      </x:c>
      <x:c r="G80" s="19" t="str">
        <x:v>PREPARED_NOT_DELIVERED</x:v>
      </x:c>
      <x:c r="H80" s="19" t="str">
        <x:v>Architecture/Engineering</x:v>
      </x:c>
      <x:c r="I80" s="19" t="str">
        <x:v>AAI-SRC-0038</x:v>
      </x:c>
      <x:c r="J80" s="19" t="str">
        <x:v>AAI-DEC-0015</x:v>
      </x:c>
      <x:c r="K80" s="19" t="str">
        <x:v>HK-DGM-0009; HK-DGM-0012</x:v>
      </x:c>
      <x:c r="L80" s="19" t="str">
        <x:v>0009 event payload; 0036 final semantics blocked</x:v>
      </x:c>
    </x:row>
    <x:row r="81" ht="44" customHeight="1">
      <x:c r="A81" s="19" t="str">
        <x:v>AAI-SCHEMA-0012</x:v>
      </x:c>
      <x:c r="B81" s="19" t="str">
        <x:v>Architecture Question</x:v>
      </x:c>
      <x:c r="C81" s="19" t="str">
        <x:v>Contracts</x:v>
      </x:c>
      <x:c r="D81" s="19" t="str">
        <x:v>JSON Schema</x:v>
      </x:c>
      <x:c r="E81" s="19" t="str">
        <x:v>0.1.0-draft</x:v>
      </x:c>
      <x:c r="F81" s="19" t="str">
        <x:v>DRAFT</x:v>
      </x:c>
      <x:c r="G81" s="19" t="str">
        <x:v>PREPARED_NOT_DELIVERED</x:v>
      </x:c>
      <x:c r="H81" s="19" t="str">
        <x:v>Knowledge/Architecture</x:v>
      </x:c>
      <x:c r="I81" s="19" t="str">
        <x:v>AAI-SRC-0038</x:v>
      </x:c>
      <x:c r="J81" s="19" t="str">
        <x:v>AAI-DEC-0009; AAI-DEC-0015</x:v>
      </x:c>
      <x:c r="K81" s="19" t="str">
        <x:v>HK-DGM-0010</x:v>
      </x:c>
      <x:c r="L81" s="19" t="str">
        <x:v>Subordinate to AAI-SPEC-0010</x:v>
      </x:c>
    </x:row>
    <x:row r="82" ht="44" customHeight="1">
      <x:c r="A82" s="19" t="str">
        <x:v>AAI-SCHEMA-0013</x:v>
      </x:c>
      <x:c r="B82" s="19" t="str">
        <x:v>Question Lifecycle Event</x:v>
      </x:c>
      <x:c r="C82" s="19" t="str">
        <x:v>Contracts</x:v>
      </x:c>
      <x:c r="D82" s="19" t="str">
        <x:v>JSON Schema</x:v>
      </x:c>
      <x:c r="E82" s="19" t="str">
        <x:v>0.1.0-draft</x:v>
      </x:c>
      <x:c r="F82" s="19" t="str">
        <x:v>DRAFT</x:v>
      </x:c>
      <x:c r="G82" s="19" t="str">
        <x:v>PREPARED_NOT_DELIVERED</x:v>
      </x:c>
      <x:c r="H82" s="19" t="str">
        <x:v>Knowledge/Architecture</x:v>
      </x:c>
      <x:c r="I82" s="19" t="str">
        <x:v>AAI-SRC-0038</x:v>
      </x:c>
      <x:c r="J82" s="19" t="str">
        <x:v>AAI-DEC-0009; AAI-DEC-0015</x:v>
      </x:c>
      <x:c r="K82" s="19" t="str">
        <x:v>HK-DGM-0010; HK-DGM-0012</x:v>
      </x:c>
      <x:c r="L82" s="19" t="str">
        <x:v>0010 event payload; 0036 final semantics blocked</x:v>
      </x:c>
    </x:row>
    <x:row r="83" ht="44" customHeight="1">
      <x:c r="A83" s="19" t="str">
        <x:v>AAI-SCHEMA-0014</x:v>
      </x:c>
      <x:c r="B83" s="19" t="str">
        <x:v>State Update Delta</x:v>
      </x:c>
      <x:c r="C83" s="19" t="str">
        <x:v>Contracts</x:v>
      </x:c>
      <x:c r="D83" s="19" t="str">
        <x:v>JSON Schema</x:v>
      </x:c>
      <x:c r="E83" s="19" t="str">
        <x:v>0.1.0-draft</x:v>
      </x:c>
      <x:c r="F83" s="19" t="str">
        <x:v>DRAFT</x:v>
      </x:c>
      <x:c r="G83" s="19" t="str">
        <x:v>PREPARED_NOT_DELIVERED</x:v>
      </x:c>
      <x:c r="H83" s="19" t="str">
        <x:v>Architecture/QA</x:v>
      </x:c>
      <x:c r="I83" s="19" t="str">
        <x:v>AAI-SRC-0038</x:v>
      </x:c>
      <x:c r="J83" s="19" t="str">
        <x:v>AAI-DEC-0011; AAI-DEC-0013</x:v>
      </x:c>
      <x:c r="K83" s="19" t="str">
        <x:v>HK-DGM-0012</x:v>
      </x:c>
      <x:c r="L83" s="19" t="str">
        <x:v>Shared by 0009/0010; cannot elevate status without evidence</x:v>
      </x:c>
    </x:row>
    <x:row r="84" ht="44" customHeight="1">
      <x:c r="A84" s="19" t="str">
        <x:v>HAPPY-BOOT-0001</x:v>
      </x:c>
      <x:c r="B84" s="19" t="str">
        <x:v>AGENTS bootstrap skeleton</x:v>
      </x:c>
      <x:c r="C84" s="19" t="str">
        <x:v>Bootstrap</x:v>
      </x:c>
      <x:c r="D84" s="19" t="str">
        <x:v>Bootstrap Skeleton</x:v>
      </x:c>
      <x:c r="E84" s="19" t="str">
        <x:v>0.2.0-draft</x:v>
      </x:c>
      <x:c r="F84" s="19" t="str">
        <x:v>DRAFT</x:v>
      </x:c>
      <x:c r="G84" s="19" t="str">
        <x:v>PREPARED_NOT_DELIVERED</x:v>
      </x:c>
      <x:c r="H84" s="19" t="str">
        <x:v>Architecture/Engineering</x:v>
      </x:c>
      <x:c r="I84" s="19" t="str">
        <x:v>AAI-SRC-0039; AAI-SRC-0040</x:v>
      </x:c>
      <x:c r="J84" s="19" t="str">
        <x:v>AAI-DEC-0015; 0020..0023</x:v>
      </x:c>
      <x:c r="K84" s="19" t="str">
        <x:v>HK-DGM-0013; 0014</x:v>
      </x:c>
      <x:c r="L84" s="19" t="str">
        <x:v>Seed/DNA/expansion/cutover rules; not installed</x:v>
      </x:c>
    </x:row>
    <x:row r="85" ht="44" customHeight="1">
      <x:c r="A85" s="19" t="str">
        <x:v>HAPPY-BOOT-0002</x:v>
      </x:c>
      <x:c r="B85" s="19" t="str">
        <x:v>BOOTSTRAP execution skeleton</x:v>
      </x:c>
      <x:c r="C85" s="19" t="str">
        <x:v>Bootstrap</x:v>
      </x:c>
      <x:c r="D85" s="19" t="str">
        <x:v>Bootstrap Skeleton</x:v>
      </x:c>
      <x:c r="E85" s="19" t="str">
        <x:v>0.2.0-draft</x:v>
      </x:c>
      <x:c r="F85" s="19" t="str">
        <x:v>DRAFT</x:v>
      </x:c>
      <x:c r="G85" s="19" t="str">
        <x:v>PREPARED_NOT_DELIVERED</x:v>
      </x:c>
      <x:c r="H85" s="19" t="str">
        <x:v>Architecture/Engineering</x:v>
      </x:c>
      <x:c r="I85" s="19" t="str">
        <x:v>AAI-SRC-0039; AAI-SRC-0040</x:v>
      </x:c>
      <x:c r="J85" s="19" t="str">
        <x:v>AAI-DEC-0013; 0015; 0020..0023</x:v>
      </x:c>
      <x:c r="K85" s="19" t="str">
        <x:v>HK-DGM-0013; 0018</x:v>
      </x:c>
      <x:c r="L85" s="19" t="str">
        <x:v>G1..G12 and acceptance path; NOT_EXECUTED</x:v>
      </x:c>
    </x:row>
    <x:row r="86" ht="44" customHeight="1">
      <x:c r="A86" s="19" t="str">
        <x:v>HAPPY-BOOT-0003</x:v>
      </x:c>
      <x:c r="B86" s="19" t="str">
        <x:v>CONTEXT PACK skeleton</x:v>
      </x:c>
      <x:c r="C86" s="19" t="str">
        <x:v>Bootstrap</x:v>
      </x:c>
      <x:c r="D86" s="19" t="str">
        <x:v>Derived Context Skeleton</x:v>
      </x:c>
      <x:c r="E86" s="19" t="str">
        <x:v>0.2.0-draft</x:v>
      </x:c>
      <x:c r="F86" s="19" t="str">
        <x:v>DRAFT</x:v>
      </x:c>
      <x:c r="G86" s="19" t="str">
        <x:v>PREPARED_NOT_DELIVERED</x:v>
      </x:c>
      <x:c r="H86" s="19" t="str">
        <x:v>Architecture/Knowledge</x:v>
      </x:c>
      <x:c r="I86" s="19" t="str">
        <x:v>AAI-SRC-0039; AAI-SRC-0040</x:v>
      </x:c>
      <x:c r="J86" s="19" t="str">
        <x:v>AAI-DEC-0011; 0013; 0020</x:v>
      </x:c>
      <x:c r="K86" s="19" t="str">
        <x:v>HK-DGM-0013..0018</x:v>
      </x:c>
      <x:c r="L86" s="19" t="str">
        <x:v>3C Seed projection; not final handoff</x:v>
      </x:c>
    </x:row>
    <x:row r="87" ht="44" customHeight="1">
      <x:c r="A87" s="19" t="str">
        <x:v>HAPPY-BOOT-0004</x:v>
      </x:c>
      <x:c r="B87" s="19" t="str">
        <x:v>REPOSITORY MAP skeleton</x:v>
      </x:c>
      <x:c r="C87" s="19" t="str">
        <x:v>Bootstrap</x:v>
      </x:c>
      <x:c r="D87" s="19" t="str">
        <x:v>Repository Map Skeleton</x:v>
      </x:c>
      <x:c r="E87" s="19" t="str">
        <x:v>0.2.0-draft</x:v>
      </x:c>
      <x:c r="F87" s="19" t="str">
        <x:v>DRAFT</x:v>
      </x:c>
      <x:c r="G87" s="19" t="str">
        <x:v>PREPARED_NOT_DELIVERED</x:v>
      </x:c>
      <x:c r="H87" s="19" t="str">
        <x:v>Engineering</x:v>
      </x:c>
      <x:c r="I87" s="19" t="str">
        <x:v>AAI-SRC-0039; AAI-SRC-0041</x:v>
      </x:c>
      <x:c r="J87" s="19" t="str">
        <x:v>AAI-DEC-0022</x:v>
      </x:c>
      <x:c r="K87" s="19" t="str">
        <x:v>HK-DGM-0016</x:v>
      </x:c>
      <x:c r="L87" s="19" t="str">
        <x:v>Staging distinguished from implementation repo; physical map blocked</x:v>
      </x:c>
    </x:row>
    <x:row r="88" ht="44" customHeight="1">
      <x:c r="A88" s="19" t="str">
        <x:v>HAPPY-KNOW-49</x:v>
      </x:c>
      <x:c r="B88" s="19" t="str">
        <x:v>Oleada 3B Status</x:v>
      </x:c>
      <x:c r="C88" s="19" t="str">
        <x:v>Knowledge Compiler</x:v>
      </x:c>
      <x:c r="D88" s="19" t="str">
        <x:v>Status</x:v>
      </x:c>
      <x:c r="E88" s="19" t="str">
        <x:v>0.1.0-draft</x:v>
      </x:c>
      <x:c r="F88" s="19" t="str">
        <x:v>DRAFT</x:v>
      </x:c>
      <x:c r="G88" s="19" t="str">
        <x:v>PREPARED_NOT_DELIVERED</x:v>
      </x:c>
      <x:c r="H88" s="19" t="str">
        <x:v>Architecture</x:v>
      </x:c>
      <x:c r="I88" s="19" t="str">
        <x:v>AAI-SRC-0037; AAI-SRC-0038</x:v>
      </x:c>
      <x:c r="J88" s="19" t="str">
        <x:v>AAI-DEC-0013; AAI-DEC-0015</x:v>
      </x:c>
      <x:c r="K88" s="19" t="str">
        <x:v>HK-DGM-0009..0012</x:v>
      </x:c>
      <x:c r="L88" s="19" t="str">
        <x:v>Eight-part closeout requested by user</x:v>
      </x:c>
    </x:row>
    <x:row r="89" ht="44" customHeight="1">
      <x:c r="A89" s="19" t="str">
        <x:v>HAPPY-KNOW-50</x:v>
      </x:c>
      <x:c r="B89" s="19" t="str">
        <x:v>Oleada 3B Delta Manifest</x:v>
      </x:c>
      <x:c r="C89" s="19" t="str">
        <x:v>Knowledge Compiler</x:v>
      </x:c>
      <x:c r="D89" s="19" t="str">
        <x:v>Manifest</x:v>
      </x:c>
      <x:c r="E89" s="19" t="str">
        <x:v>0.1.0-draft</x:v>
      </x:c>
      <x:c r="F89" s="19" t="str">
        <x:v>DRAFT</x:v>
      </x:c>
      <x:c r="G89" s="19" t="str">
        <x:v>PREPARED_NOT_DELIVERED</x:v>
      </x:c>
      <x:c r="H89" s="19" t="str">
        <x:v>Architecture/Delivery</x:v>
      </x:c>
      <x:c r="I89" s="19" t="str">
        <x:v>AAI-SRC-0038</x:v>
      </x:c>
      <x:c r="J89" s="19" t="str">
        <x:v>AAI-DEC-0011</x:v>
      </x:c>
      <x:c r="K89" s="19" t="str"/>
      <x:c r="L89" s="19" t="str">
        <x:v>Additive delta; validated base artifacts preserved</x:v>
      </x:c>
    </x:row>
    <x:row r="90" ht="44" customHeight="1">
      <x:c r="A90" s="19" t="str">
        <x:v>HAPPY-KNOW-51</x:v>
      </x:c>
      <x:c r="B90" s="19" t="str">
        <x:v>Oleada 3B Validation Report</x:v>
      </x:c>
      <x:c r="C90" s="19" t="str">
        <x:v>Quality</x:v>
      </x:c>
      <x:c r="D90" s="19" t="str">
        <x:v>Validation Report</x:v>
      </x:c>
      <x:c r="E90" s="19" t="str">
        <x:v>0.1.0-draft</x:v>
      </x:c>
      <x:c r="F90" s="19" t="str">
        <x:v>DRAFT</x:v>
      </x:c>
      <x:c r="G90" s="19" t="str">
        <x:v>PREPARED_NOT_DELIVERED</x:v>
      </x:c>
      <x:c r="H90" s="19" t="str">
        <x:v>Architecture/QA</x:v>
      </x:c>
      <x:c r="I90" s="19" t="str">
        <x:v>AAI-SRC-0038</x:v>
      </x:c>
      <x:c r="J90" s="19" t="str">
        <x:v>AAI-DEC-0013</x:v>
      </x:c>
      <x:c r="K90" s="19" t="str"/>
      <x:c r="L90" s="19" t="str">
        <x:v>Contract/static/readiness validation; no runtime claims</x:v>
      </x:c>
    </x:row>
    <x:row r="91" ht="44" customHeight="1">
      <x:c r="A91" s="19" t="str">
        <x:v>HAPPY-KNOW-52</x:v>
      </x:c>
      <x:c r="B91" s="19" t="str">
        <x:v>3C Concept Inventory</x:v>
      </x:c>
      <x:c r="C91" s="19" t="str">
        <x:v>Knowledge Compiler</x:v>
      </x:c>
      <x:c r="D91" s="19" t="str">
        <x:v>Inventory</x:v>
      </x:c>
      <x:c r="E91" s="19" t="str">
        <x:v>0.1.0-draft</x:v>
      </x:c>
      <x:c r="F91" s="19" t="str">
        <x:v>DRAFT</x:v>
      </x:c>
      <x:c r="G91" s="19" t="str">
        <x:v>PREPARED_NOT_DELIVERED</x:v>
      </x:c>
      <x:c r="H91" s="19" t="str">
        <x:v>Architecture</x:v>
      </x:c>
      <x:c r="I91" s="19" t="str">
        <x:v>AAI-SRC-0039; AAI-SRC-0040</x:v>
      </x:c>
      <x:c r="J91" s="19" t="str">
        <x:v>AAI-DEC-0020..0023</x:v>
      </x:c>
      <x:c r="K91" s="19" t="str"/>
      <x:c r="L91" s="19" t="str">
        <x:v>Oleada 3C Seed delta; no implementation/Devin delivery</x:v>
      </x:c>
    </x:row>
    <x:row r="92" ht="44" customHeight="1">
      <x:c r="A92" s="19" t="str">
        <x:v>HAPPY-KNOW-53</x:v>
      </x:c>
      <x:c r="B92" s="19" t="str">
        <x:v>Spec Coverage &amp; Extension Matrix</x:v>
      </x:c>
      <x:c r="C92" s="19" t="str">
        <x:v>Knowledge Compiler</x:v>
      </x:c>
      <x:c r="D92" s="19" t="str">
        <x:v>Matrix</x:v>
      </x:c>
      <x:c r="E92" s="19" t="str">
        <x:v>0.1.0-draft</x:v>
      </x:c>
      <x:c r="F92" s="19" t="str">
        <x:v>DRAFT</x:v>
      </x:c>
      <x:c r="G92" s="19" t="str">
        <x:v>PREPARED_NOT_DELIVERED</x:v>
      </x:c>
      <x:c r="H92" s="19" t="str">
        <x:v>Architecture</x:v>
      </x:c>
      <x:c r="I92" s="19" t="str">
        <x:v>AAI-SRC-0039; AAI-SRC-0040</x:v>
      </x:c>
      <x:c r="J92" s="19" t="str">
        <x:v>AAI-DEC-0020..0023</x:v>
      </x:c>
      <x:c r="K92" s="19" t="str"/>
      <x:c r="L92" s="19" t="str">
        <x:v>Oleada 3C Seed delta; no implementation/Devin delivery</x:v>
      </x:c>
    </x:row>
    <x:row r="93" ht="44" customHeight="1">
      <x:c r="A93" s="19" t="str">
        <x:v>HAPPY-KNOW-54</x:v>
      </x:c>
      <x:c r="B93" s="19" t="str">
        <x:v>Cross-Cutting Capability Inventory</x:v>
      </x:c>
      <x:c r="C93" s="19" t="str">
        <x:v>Knowledge Compiler</x:v>
      </x:c>
      <x:c r="D93" s="19" t="str">
        <x:v>Capability Map</x:v>
      </x:c>
      <x:c r="E93" s="19" t="str">
        <x:v>0.1.0-draft</x:v>
      </x:c>
      <x:c r="F93" s="19" t="str">
        <x:v>DRAFT</x:v>
      </x:c>
      <x:c r="G93" s="19" t="str">
        <x:v>PREPARED_NOT_DELIVERED</x:v>
      </x:c>
      <x:c r="H93" s="19" t="str">
        <x:v>Architecture</x:v>
      </x:c>
      <x:c r="I93" s="19" t="str">
        <x:v>AAI-SRC-0039; AAI-SRC-0040</x:v>
      </x:c>
      <x:c r="J93" s="19" t="str">
        <x:v>AAI-DEC-0020..0023</x:v>
      </x:c>
      <x:c r="K93" s="19" t="str">
        <x:v>HK-DGM-0013..0018</x:v>
      </x:c>
      <x:c r="L93" s="19" t="str">
        <x:v>Oleada 3C Seed delta; no implementation/Devin delivery</x:v>
      </x:c>
    </x:row>
    <x:row r="94" ht="44" customHeight="1">
      <x:c r="A94" s="19" t="str">
        <x:v>HAPPY-KNOW-55</x:v>
      </x:c>
      <x:c r="B94" s="19" t="str">
        <x:v>Seed V1 Architectural DNA</x:v>
      </x:c>
      <x:c r="C94" s="19" t="str">
        <x:v>Knowledge Compiler</x:v>
      </x:c>
      <x:c r="D94" s="19" t="str">
        <x:v>Architecture Model</x:v>
      </x:c>
      <x:c r="E94" s="19" t="str">
        <x:v>0.1.0-draft</x:v>
      </x:c>
      <x:c r="F94" s="19" t="str">
        <x:v>DRAFT</x:v>
      </x:c>
      <x:c r="G94" s="19" t="str">
        <x:v>PREPARED_NOT_DELIVERED</x:v>
      </x:c>
      <x:c r="H94" s="19" t="str">
        <x:v>Architecture</x:v>
      </x:c>
      <x:c r="I94" s="19" t="str">
        <x:v>AAI-SRC-0039; AAI-SRC-0040</x:v>
      </x:c>
      <x:c r="J94" s="19" t="str">
        <x:v>AAI-DEC-0020..0023</x:v>
      </x:c>
      <x:c r="K94" s="19" t="str">
        <x:v>HK-DGM-0013..0018</x:v>
      </x:c>
      <x:c r="L94" s="19" t="str">
        <x:v>Oleada 3C Seed delta; no implementation/Devin delivery</x:v>
      </x:c>
    </x:row>
    <x:row r="95" ht="44" customHeight="1">
      <x:c r="A95" s="19" t="str">
        <x:v>HAPPY-KNOW-56</x:v>
      </x:c>
      <x:c r="B95" s="19" t="str">
        <x:v>Initial Knowledge &amp; Target Model</x:v>
      </x:c>
      <x:c r="C95" s="19" t="str">
        <x:v>Knowledge Compiler</x:v>
      </x:c>
      <x:c r="D95" s="19" t="str">
        <x:v>Knowledge Model</x:v>
      </x:c>
      <x:c r="E95" s="19" t="str">
        <x:v>0.1.0-draft</x:v>
      </x:c>
      <x:c r="F95" s="19" t="str">
        <x:v>DRAFT</x:v>
      </x:c>
      <x:c r="G95" s="19" t="str">
        <x:v>PREPARED_NOT_DELIVERED</x:v>
      </x:c>
      <x:c r="H95" s="19" t="str">
        <x:v>Architecture</x:v>
      </x:c>
      <x:c r="I95" s="19" t="str">
        <x:v>AAI-SRC-0039; AAI-SRC-0040</x:v>
      </x:c>
      <x:c r="J95" s="19" t="str">
        <x:v>AAI-DEC-0020..0023</x:v>
      </x:c>
      <x:c r="K95" s="19" t="str">
        <x:v>HK-DGM-0013..0018</x:v>
      </x:c>
      <x:c r="L95" s="19" t="str">
        <x:v>Oleada 3C Seed delta; no implementation/Devin delivery</x:v>
      </x:c>
    </x:row>
    <x:row r="96" ht="44" customHeight="1">
      <x:c r="A96" s="19" t="str">
        <x:v>HAPPY-KNOW-57</x:v>
      </x:c>
      <x:c r="B96" s="19" t="str">
        <x:v>Capability Dependency &amp; Autonomy Critical Path</x:v>
      </x:c>
      <x:c r="C96" s="19" t="str">
        <x:v>Knowledge Compiler</x:v>
      </x:c>
      <x:c r="D96" s="19" t="str">
        <x:v>Dependency Map</x:v>
      </x:c>
      <x:c r="E96" s="19" t="str">
        <x:v>0.1.0-draft</x:v>
      </x:c>
      <x:c r="F96" s="19" t="str">
        <x:v>DRAFT</x:v>
      </x:c>
      <x:c r="G96" s="19" t="str">
        <x:v>PREPARED_NOT_DELIVERED</x:v>
      </x:c>
      <x:c r="H96" s="19" t="str">
        <x:v>Architecture</x:v>
      </x:c>
      <x:c r="I96" s="19" t="str">
        <x:v>AAI-SRC-0039; AAI-SRC-0040</x:v>
      </x:c>
      <x:c r="J96" s="19" t="str">
        <x:v>AAI-DEC-0020..0023</x:v>
      </x:c>
      <x:c r="K96" s="19" t="str">
        <x:v>HK-DGM-0013..0018</x:v>
      </x:c>
      <x:c r="L96" s="19" t="str">
        <x:v>Oleada 3C Seed delta; no implementation/Devin delivery</x:v>
      </x:c>
    </x:row>
    <x:row r="97" ht="44" customHeight="1">
      <x:c r="A97" s="19" t="str">
        <x:v>HAPPY-KNOW-58</x:v>
      </x:c>
      <x:c r="B97" s="19" t="str">
        <x:v>Operating Model &amp; Expansion Contract</x:v>
      </x:c>
      <x:c r="C97" s="19" t="str">
        <x:v>Knowledge Compiler</x:v>
      </x:c>
      <x:c r="D97" s="19" t="str">
        <x:v>Operating Model</x:v>
      </x:c>
      <x:c r="E97" s="19" t="str">
        <x:v>0.1.0-draft</x:v>
      </x:c>
      <x:c r="F97" s="19" t="str">
        <x:v>DRAFT</x:v>
      </x:c>
      <x:c r="G97" s="19" t="str">
        <x:v>PREPARED_NOT_DELIVERED</x:v>
      </x:c>
      <x:c r="H97" s="19" t="str">
        <x:v>Architecture</x:v>
      </x:c>
      <x:c r="I97" s="19" t="str">
        <x:v>AAI-SRC-0039; AAI-SRC-0040</x:v>
      </x:c>
      <x:c r="J97" s="19" t="str">
        <x:v>AAI-DEC-0020..0023</x:v>
      </x:c>
      <x:c r="K97" s="19" t="str">
        <x:v>HK-DGM-0013..0018</x:v>
      </x:c>
      <x:c r="L97" s="19" t="str">
        <x:v>Oleada 3C Seed delta; no implementation/Devin delivery</x:v>
      </x:c>
    </x:row>
    <x:row r="98" ht="44" customHeight="1">
      <x:c r="A98" s="19" t="str">
        <x:v>HAPPY-KNOW-59</x:v>
      </x:c>
      <x:c r="B98" s="19" t="str">
        <x:v>Technology/Infrastructure Evolution Model</x:v>
      </x:c>
      <x:c r="C98" s="19" t="str">
        <x:v>Knowledge Compiler</x:v>
      </x:c>
      <x:c r="D98" s="19" t="str">
        <x:v>Evolution Model</x:v>
      </x:c>
      <x:c r="E98" s="19" t="str">
        <x:v>0.1.0-draft</x:v>
      </x:c>
      <x:c r="F98" s="19" t="str">
        <x:v>DRAFT</x:v>
      </x:c>
      <x:c r="G98" s="19" t="str">
        <x:v>PREPARED_NOT_DELIVERED</x:v>
      </x:c>
      <x:c r="H98" s="19" t="str">
        <x:v>Architecture</x:v>
      </x:c>
      <x:c r="I98" s="19" t="str">
        <x:v>AAI-SRC-0039; AAI-SRC-0040</x:v>
      </x:c>
      <x:c r="J98" s="19" t="str">
        <x:v>AAI-DEC-0020..0023</x:v>
      </x:c>
      <x:c r="K98" s="19" t="str">
        <x:v>HK-DGM-0013..0018</x:v>
      </x:c>
      <x:c r="L98" s="19" t="str">
        <x:v>Oleada 3C Seed delta; no implementation/Devin delivery</x:v>
      </x:c>
    </x:row>
    <x:row r="99" ht="44" customHeight="1">
      <x:c r="A99" s="19" t="str">
        <x:v>HAPPY-KNOW-60</x:v>
      </x:c>
      <x:c r="B99" s="19" t="str">
        <x:v>Seed Staging/Cutover/Transport</x:v>
      </x:c>
      <x:c r="C99" s="19" t="str">
        <x:v>Knowledge Compiler</x:v>
      </x:c>
      <x:c r="D99" s="19" t="str">
        <x:v>Cutover Model</x:v>
      </x:c>
      <x:c r="E99" s="19" t="str">
        <x:v>0.1.0-draft</x:v>
      </x:c>
      <x:c r="F99" s="19" t="str">
        <x:v>DRAFT</x:v>
      </x:c>
      <x:c r="G99" s="19" t="str">
        <x:v>PREPARED_NOT_DELIVERED</x:v>
      </x:c>
      <x:c r="H99" s="19" t="str">
        <x:v>Architecture</x:v>
      </x:c>
      <x:c r="I99" s="19" t="str">
        <x:v>AAI-SRC-0039; AAI-SRC-0040</x:v>
      </x:c>
      <x:c r="J99" s="19" t="str">
        <x:v>AAI-DEC-0020..0023</x:v>
      </x:c>
      <x:c r="K99" s="19" t="str">
        <x:v>HK-DGM-0013..0018</x:v>
      </x:c>
      <x:c r="L99" s="19" t="str">
        <x:v>Oleada 3C Seed delta; no implementation/Devin delivery</x:v>
      </x:c>
    </x:row>
    <x:row r="100" ht="44" customHeight="1">
      <x:c r="A100" s="19" t="str">
        <x:v>HAPPY-KNOW-61</x:v>
      </x:c>
      <x:c r="B100" s="19" t="str">
        <x:v>Seed V1 Readiness &amp; Acceptance</x:v>
      </x:c>
      <x:c r="C100" s="19" t="str">
        <x:v>Knowledge Compiler</x:v>
      </x:c>
      <x:c r="D100" s="19" t="str">
        <x:v>Readiness Model</x:v>
      </x:c>
      <x:c r="E100" s="19" t="str">
        <x:v>0.1.0-draft</x:v>
      </x:c>
      <x:c r="F100" s="19" t="str">
        <x:v>DRAFT</x:v>
      </x:c>
      <x:c r="G100" s="19" t="str">
        <x:v>PREPARED_NOT_DELIVERED</x:v>
      </x:c>
      <x:c r="H100" s="19" t="str">
        <x:v>Architecture</x:v>
      </x:c>
      <x:c r="I100" s="19" t="str">
        <x:v>AAI-SRC-0039; AAI-SRC-0040</x:v>
      </x:c>
      <x:c r="J100" s="19" t="str">
        <x:v>AAI-DEC-0020..0023</x:v>
      </x:c>
      <x:c r="K100" s="19" t="str">
        <x:v>HK-DGM-0013..0018</x:v>
      </x:c>
      <x:c r="L100" s="19" t="str">
        <x:v>Gates re-evaluated without promotion; G11 must be rerun for new package</x:v>
      </x:c>
    </x:row>
    <x:row r="101" ht="44" customHeight="1">
      <x:c r="A101" s="19" t="str">
        <x:v>HAPPY-KNOW-62</x:v>
      </x:c>
      <x:c r="B101" s="19" t="str">
        <x:v>Research Obligations/Standards/Gaps</x:v>
      </x:c>
      <x:c r="C101" s="19" t="str">
        <x:v>Knowledge Compiler</x:v>
      </x:c>
      <x:c r="D101" s="19" t="str">
        <x:v>Research Register</x:v>
      </x:c>
      <x:c r="E101" s="19" t="str">
        <x:v>0.1.0-draft</x:v>
      </x:c>
      <x:c r="F101" s="19" t="str">
        <x:v>DRAFT</x:v>
      </x:c>
      <x:c r="G101" s="19" t="str">
        <x:v>PREPARED_NOT_DELIVERED</x:v>
      </x:c>
      <x:c r="H101" s="19" t="str">
        <x:v>Architecture</x:v>
      </x:c>
      <x:c r="I101" s="19" t="str">
        <x:v>AAI-SRC-0039; AAI-SRC-0040</x:v>
      </x:c>
      <x:c r="J101" s="19" t="str">
        <x:v>AAI-DEC-0020..0023</x:v>
      </x:c>
      <x:c r="K101" s="19" t="str"/>
      <x:c r="L101" s="19" t="str">
        <x:v>25 open Research Obligations including RO-ACCEPT-001; no adoption</x:v>
      </x:c>
    </x:row>
    <x:row r="102" ht="44" customHeight="1">
      <x:c r="A102" s="19" t="str">
        <x:v>HAPPY-KNOW-63</x:v>
      </x:c>
      <x:c r="B102" s="19" t="str">
        <x:v>Known Intent &amp; Future No-Loss</x:v>
      </x:c>
      <x:c r="C102" s="19" t="str">
        <x:v>Knowledge Compiler</x:v>
      </x:c>
      <x:c r="D102" s="19" t="str">
        <x:v>No-Loss Review</x:v>
      </x:c>
      <x:c r="E102" s="19" t="str">
        <x:v>0.1.0-draft</x:v>
      </x:c>
      <x:c r="F102" s="19" t="str">
        <x:v>DRAFT</x:v>
      </x:c>
      <x:c r="G102" s="19" t="str">
        <x:v>PREPARED_NOT_DELIVERED</x:v>
      </x:c>
      <x:c r="H102" s="19" t="str">
        <x:v>Architecture</x:v>
      </x:c>
      <x:c r="I102" s="19" t="str">
        <x:v>AAI-SRC-0039; AAI-SRC-0040</x:v>
      </x:c>
      <x:c r="J102" s="19" t="str">
        <x:v>AAI-DEC-0020..0023</x:v>
      </x:c>
      <x:c r="K102" s="19" t="str"/>
      <x:c r="L102" s="19" t="str">
        <x:v>Oleada 3C Seed delta; no implementation/Devin delivery</x:v>
      </x:c>
    </x:row>
    <x:row r="103" ht="44" customHeight="1">
      <x:c r="A103" s="19" t="str">
        <x:v>HAPPY-KNOW-64</x:v>
      </x:c>
      <x:c r="B103" s="19" t="str">
        <x:v>3C Delta Manifest</x:v>
      </x:c>
      <x:c r="C103" s="19" t="str">
        <x:v>Knowledge Compiler</x:v>
      </x:c>
      <x:c r="D103" s="19" t="str">
        <x:v>Manifest</x:v>
      </x:c>
      <x:c r="E103" s="19" t="str">
        <x:v>0.1.0-draft</x:v>
      </x:c>
      <x:c r="F103" s="19" t="str">
        <x:v>DRAFT</x:v>
      </x:c>
      <x:c r="G103" s="19" t="str">
        <x:v>PREPARED_NOT_DELIVERED</x:v>
      </x:c>
      <x:c r="H103" s="19" t="str">
        <x:v>Architecture</x:v>
      </x:c>
      <x:c r="I103" s="19" t="str">
        <x:v>AAI-SRC-0039; AAI-SRC-0040</x:v>
      </x:c>
      <x:c r="J103" s="19" t="str">
        <x:v>AAI-DEC-0020..0023</x:v>
      </x:c>
      <x:c r="K103" s="19" t="str"/>
      <x:c r="L103" s="19" t="str">
        <x:v>Oleada 3C Seed delta; no implementation/Devin delivery</x:v>
      </x:c>
    </x:row>
    <x:row r="104" ht="44" customHeight="1">
      <x:c r="A104" s="19" t="str">
        <x:v>HAPPY-KNOW-65</x:v>
      </x:c>
      <x:c r="B104" s="19" t="str">
        <x:v>3C Validation Report</x:v>
      </x:c>
      <x:c r="C104" s="19" t="str">
        <x:v>Knowledge Compiler</x:v>
      </x:c>
      <x:c r="D104" s="19" t="str">
        <x:v>Validation Report</x:v>
      </x:c>
      <x:c r="E104" s="19" t="str">
        <x:v>0.1.0-draft</x:v>
      </x:c>
      <x:c r="F104" s="19" t="str">
        <x:v>DRAFT</x:v>
      </x:c>
      <x:c r="G104" s="19" t="str">
        <x:v>PREPARED_NOT_DELIVERED</x:v>
      </x:c>
      <x:c r="H104" s="19" t="str">
        <x:v>Architecture</x:v>
      </x:c>
      <x:c r="I104" s="19" t="str">
        <x:v>AAI-SRC-0039; AAI-SRC-0040</x:v>
      </x:c>
      <x:c r="J104" s="19" t="str">
        <x:v>AAI-DEC-0020..0023</x:v>
      </x:c>
      <x:c r="K104" s="19" t="str"/>
      <x:c r="L104" s="19" t="str">
        <x:v>Oleada 3C Seed delta; no implementation/Devin delivery</x:v>
      </x:c>
    </x:row>
    <x:row r="105" ht="44" customHeight="1">
      <x:c r="A105" s="19" t="str">
        <x:v>HAPPY-KNOW-66</x:v>
      </x:c>
      <x:c r="B105" s="19" t="str">
        <x:v>3C Status</x:v>
      </x:c>
      <x:c r="C105" s="19" t="str">
        <x:v>Knowledge Compiler</x:v>
      </x:c>
      <x:c r="D105" s="19" t="str">
        <x:v>Status</x:v>
      </x:c>
      <x:c r="E105" s="19" t="str">
        <x:v>0.1.0-draft</x:v>
      </x:c>
      <x:c r="F105" s="19" t="str">
        <x:v>DRAFT</x:v>
      </x:c>
      <x:c r="G105" s="19" t="str">
        <x:v>PREPARED_NOT_DELIVERED</x:v>
      </x:c>
      <x:c r="H105" s="19" t="str">
        <x:v>Architecture</x:v>
      </x:c>
      <x:c r="I105" s="19" t="str">
        <x:v>AAI-SRC-0039; AAI-SRC-0040</x:v>
      </x:c>
      <x:c r="J105" s="19" t="str">
        <x:v>AAI-DEC-0020..0023</x:v>
      </x:c>
      <x:c r="K105" s="19" t="str"/>
      <x:c r="L105" s="19" t="str">
        <x:v>Oleada 3C Seed delta; no implementation/Devin delivery</x:v>
      </x:c>
    </x:row>
    <x:row r="106" ht="44" customHeight="1">
      <x:c r="A106" s="19" t="str">
        <x:v>HAPPY-KNOW-67</x:v>
      </x:c>
      <x:c r="B106" s="19" t="str">
        <x:v>Deduplication &amp; Spec Disposition</x:v>
      </x:c>
      <x:c r="C106" s="19" t="str">
        <x:v>Knowledge Compiler</x:v>
      </x:c>
      <x:c r="D106" s="19" t="str">
        <x:v>Dedup Register</x:v>
      </x:c>
      <x:c r="E106" s="19" t="str">
        <x:v>0.1.0-draft</x:v>
      </x:c>
      <x:c r="F106" s="19" t="str">
        <x:v>DRAFT</x:v>
      </x:c>
      <x:c r="G106" s="19" t="str">
        <x:v>PREPARED_NOT_DELIVERED</x:v>
      </x:c>
      <x:c r="H106" s="19" t="str">
        <x:v>Architecture/Knowledge</x:v>
      </x:c>
      <x:c r="I106" s="19" t="str">
        <x:v>AAI-SRC-0042; AAI-SRC-0043</x:v>
      </x:c>
      <x:c r="J106" s="19" t="str">
        <x:v>AAI-DEC-0024..0026</x:v>
      </x:c>
      <x:c r="K106" s="19" t="str">
        <x:v>HK-DGM-0001..0018</x:v>
      </x:c>
      <x:c r="L106" s="19" t="str">
        <x:v>Oleada 3D documentary/package assembly; no implementation</x:v>
      </x:c>
    </x:row>
    <x:row r="107" ht="44" customHeight="1">
      <x:c r="A107" s="19" t="str">
        <x:v>HAPPY-KNOW-68</x:v>
      </x:c>
      <x:c r="B107" s="19" t="str">
        <x:v>Standards Substitution &amp; Thin Custom Layer</x:v>
      </x:c>
      <x:c r="C107" s="19" t="str">
        <x:v>Knowledge Compiler</x:v>
      </x:c>
      <x:c r="D107" s="19" t="str">
        <x:v>Standards Matrix</x:v>
      </x:c>
      <x:c r="E107" s="19" t="str">
        <x:v>0.1.0-draft</x:v>
      </x:c>
      <x:c r="F107" s="19" t="str">
        <x:v>DRAFT</x:v>
      </x:c>
      <x:c r="G107" s="19" t="str">
        <x:v>PREPARED_NOT_DELIVERED</x:v>
      </x:c>
      <x:c r="H107" s="19" t="str">
        <x:v>Architecture/Knowledge</x:v>
      </x:c>
      <x:c r="I107" s="19" t="str">
        <x:v>AAI-SRC-0042; AAI-SRC-0043</x:v>
      </x:c>
      <x:c r="J107" s="19" t="str">
        <x:v>AAI-DEC-0024..0026</x:v>
      </x:c>
      <x:c r="K107" s="19" t="str">
        <x:v>HK-DGM-0001..0018</x:v>
      </x:c>
      <x:c r="L107" s="19" t="str">
        <x:v>Oleada 3D documentary/package assembly; no implementation</x:v>
      </x:c>
    </x:row>
    <x:row r="108" ht="44" customHeight="1">
      <x:c r="A108" s="19" t="str">
        <x:v>HAPPY-KNOW-69</x:v>
      </x:c>
      <x:c r="B108" s="19" t="str">
        <x:v>Root Views &amp; Model of Models</x:v>
      </x:c>
      <x:c r="C108" s="19" t="str">
        <x:v>Knowledge Compiler</x:v>
      </x:c>
      <x:c r="D108" s="19" t="str">
        <x:v>Root View</x:v>
      </x:c>
      <x:c r="E108" s="19" t="str">
        <x:v>0.1.0-draft</x:v>
      </x:c>
      <x:c r="F108" s="19" t="str">
        <x:v>DRAFT</x:v>
      </x:c>
      <x:c r="G108" s="19" t="str">
        <x:v>PREPARED_NOT_DELIVERED</x:v>
      </x:c>
      <x:c r="H108" s="19" t="str">
        <x:v>Architecture/Knowledge</x:v>
      </x:c>
      <x:c r="I108" s="19" t="str">
        <x:v>AAI-SRC-0042; AAI-SRC-0043</x:v>
      </x:c>
      <x:c r="J108" s="19" t="str">
        <x:v>AAI-DEC-0024..0026</x:v>
      </x:c>
      <x:c r="K108" s="19" t="str">
        <x:v>HK-DGM-0001..0018</x:v>
      </x:c>
      <x:c r="L108" s="19" t="str">
        <x:v>Oleada 3D documentary/package assembly; no implementation</x:v>
      </x:c>
    </x:row>
    <x:row r="109" ht="44" customHeight="1">
      <x:c r="A109" s="19" t="str">
        <x:v>HAPPY-KNOW-70</x:v>
      </x:c>
      <x:c r="B109" s="19" t="str">
        <x:v>Session/Restart &amp; Acceptance Fixtures</x:v>
      </x:c>
      <x:c r="C109" s="19" t="str">
        <x:v>Knowledge Compiler</x:v>
      </x:c>
      <x:c r="D109" s="19" t="str">
        <x:v>Fixture Catalog</x:v>
      </x:c>
      <x:c r="E109" s="19" t="str">
        <x:v>0.1.0-draft</x:v>
      </x:c>
      <x:c r="F109" s="19" t="str">
        <x:v>DRAFT</x:v>
      </x:c>
      <x:c r="G109" s="19" t="str">
        <x:v>PREPARED_NOT_DELIVERED</x:v>
      </x:c>
      <x:c r="H109" s="19" t="str">
        <x:v>Architecture/Knowledge</x:v>
      </x:c>
      <x:c r="I109" s="19" t="str">
        <x:v>AAI-SRC-0042; AAI-SRC-0043</x:v>
      </x:c>
      <x:c r="J109" s="19" t="str">
        <x:v>AAI-DEC-0024..0026</x:v>
      </x:c>
      <x:c r="K109" s="19" t="str">
        <x:v>HK-DGM-0001..0018</x:v>
      </x:c>
      <x:c r="L109" s="19" t="str">
        <x:v>FX-L..T cover projections, ingestion, authority, environment, adoption and multi-architect work</x:v>
      </x:c>
    </x:row>
    <x:row r="110" ht="44" customHeight="1">
      <x:c r="A110" s="19" t="str">
        <x:v>HAPPY-KNOW-71</x:v>
      </x:c>
      <x:c r="B110" s="19" t="str">
        <x:v>Baseline Reconciliation Template</x:v>
      </x:c>
      <x:c r="C110" s="19" t="str">
        <x:v>Knowledge Compiler</x:v>
      </x:c>
      <x:c r="D110" s="19" t="str">
        <x:v>Reconciliation Template</x:v>
      </x:c>
      <x:c r="E110" s="19" t="str">
        <x:v>0.1.0-draft</x:v>
      </x:c>
      <x:c r="F110" s="19" t="str">
        <x:v>DRAFT</x:v>
      </x:c>
      <x:c r="G110" s="19" t="str">
        <x:v>PREPARED_NOT_DELIVERED</x:v>
      </x:c>
      <x:c r="H110" s="19" t="str">
        <x:v>Architecture/Knowledge</x:v>
      </x:c>
      <x:c r="I110" s="19" t="str">
        <x:v>AAI-SRC-0042; AAI-SRC-0043</x:v>
      </x:c>
      <x:c r="J110" s="19" t="str">
        <x:v>AAI-DEC-0024..0026</x:v>
      </x:c>
      <x:c r="K110" s="19" t="str">
        <x:v>HK-DGM-0001..0018</x:v>
      </x:c>
      <x:c r="L110" s="19" t="str">
        <x:v>Reconciliation outcomes hardened and SER-002→003→006 order fixed</x:v>
      </x:c>
    </x:row>
    <x:row r="111" ht="44" customHeight="1">
      <x:c r="A111" s="19" t="str">
        <x:v>HAPPY-KNOW-72</x:v>
      </x:c>
      <x:c r="B111" s="19" t="str">
        <x:v>Research &amp; SER Normalization</x:v>
      </x:c>
      <x:c r="C111" s="19" t="str">
        <x:v>Knowledge Compiler</x:v>
      </x:c>
      <x:c r="D111" s="19" t="str">
        <x:v>Normalization Register</x:v>
      </x:c>
      <x:c r="E111" s="19" t="str">
        <x:v>0.1.0-draft</x:v>
      </x:c>
      <x:c r="F111" s="19" t="str">
        <x:v>DRAFT</x:v>
      </x:c>
      <x:c r="G111" s="19" t="str">
        <x:v>PREPARED_NOT_DELIVERED</x:v>
      </x:c>
      <x:c r="H111" s="19" t="str">
        <x:v>Architecture/Knowledge</x:v>
      </x:c>
      <x:c r="I111" s="19" t="str">
        <x:v>AAI-SRC-0042; AAI-SRC-0043</x:v>
      </x:c>
      <x:c r="J111" s="19" t="str">
        <x:v>AAI-DEC-0024..0026</x:v>
      </x:c>
      <x:c r="K111" s="19" t="str">
        <x:v>HK-DGM-0001..0018</x:v>
      </x:c>
      <x:c r="L111" s="19" t="str">
        <x:v>Oleada 3D documentary/package assembly; no implementation</x:v>
      </x:c>
    </x:row>
    <x:row r="112" ht="44" customHeight="1">
      <x:c r="A112" s="19" t="str">
        <x:v>HAPPY-KNOW-73</x:v>
      </x:c>
      <x:c r="B112" s="19" t="str">
        <x:v>Seed vs Devin Expansion Boundary</x:v>
      </x:c>
      <x:c r="C112" s="19" t="str">
        <x:v>Knowledge Compiler</x:v>
      </x:c>
      <x:c r="D112" s="19" t="str">
        <x:v>Boundary Matrix</x:v>
      </x:c>
      <x:c r="E112" s="19" t="str">
        <x:v>0.1.0-draft</x:v>
      </x:c>
      <x:c r="F112" s="19" t="str">
        <x:v>DRAFT</x:v>
      </x:c>
      <x:c r="G112" s="19" t="str">
        <x:v>PREPARED_NOT_DELIVERED</x:v>
      </x:c>
      <x:c r="H112" s="19" t="str">
        <x:v>Architecture/Knowledge</x:v>
      </x:c>
      <x:c r="I112" s="19" t="str">
        <x:v>AAI-SRC-0042; AAI-SRC-0043</x:v>
      </x:c>
      <x:c r="J112" s="19" t="str">
        <x:v>AAI-DEC-0024..0026</x:v>
      </x:c>
      <x:c r="K112" s="19" t="str">
        <x:v>HK-DGM-0001..0018</x:v>
      </x:c>
      <x:c r="L112" s="19" t="str">
        <x:v>Boundary includes access/authority/readiness, environments/ALM, adoption and multi-architect work</x:v>
      </x:c>
    </x:row>
    <x:row r="113" ht="44" customHeight="1">
      <x:c r="A113" s="19" t="str">
        <x:v>HAPPY-KNOW-74</x:v>
      </x:c>
      <x:c r="B113" s="19" t="str">
        <x:v>Diagram &amp; Asset Inventory</x:v>
      </x:c>
      <x:c r="C113" s="19" t="str">
        <x:v>Knowledge Compiler</x:v>
      </x:c>
      <x:c r="D113" s="19" t="str">
        <x:v>Asset Inventory</x:v>
      </x:c>
      <x:c r="E113" s="19" t="str">
        <x:v>0.1.0-draft</x:v>
      </x:c>
      <x:c r="F113" s="19" t="str">
        <x:v>DRAFT</x:v>
      </x:c>
      <x:c r="G113" s="19" t="str">
        <x:v>PREPARED_NOT_DELIVERED</x:v>
      </x:c>
      <x:c r="H113" s="19" t="str">
        <x:v>Architecture/Knowledge</x:v>
      </x:c>
      <x:c r="I113" s="19" t="str">
        <x:v>AAI-SRC-0042; AAI-SRC-0043</x:v>
      </x:c>
      <x:c r="J113" s="19" t="str">
        <x:v>AAI-DEC-0024..0026</x:v>
      </x:c>
      <x:c r="K113" s="19" t="str">
        <x:v>HK-DGM-0001..0018</x:v>
      </x:c>
      <x:c r="L113" s="19" t="str">
        <x:v>Oleada 3D documentary/package assembly; no implementation</x:v>
      </x:c>
    </x:row>
    <x:row r="114" ht="44" customHeight="1">
      <x:c r="A114" s="19" t="str">
        <x:v>HAPPY-KNOW-75</x:v>
      </x:c>
      <x:c r="B114" s="19" t="str">
        <x:v>Seed Gate Hardening &amp; Completeness</x:v>
      </x:c>
      <x:c r="C114" s="19" t="str">
        <x:v>Knowledge Compiler</x:v>
      </x:c>
      <x:c r="D114" s="19" t="str">
        <x:v>Gate Matrix</x:v>
      </x:c>
      <x:c r="E114" s="19" t="str">
        <x:v>0.1.0-draft</x:v>
      </x:c>
      <x:c r="F114" s="19" t="str">
        <x:v>DRAFT</x:v>
      </x:c>
      <x:c r="G114" s="19" t="str">
        <x:v>PREPARED_NOT_DELIVERED</x:v>
      </x:c>
      <x:c r="H114" s="19" t="str">
        <x:v>Architecture/Knowledge</x:v>
      </x:c>
      <x:c r="I114" s="19" t="str">
        <x:v>AAI-SRC-0042; AAI-SRC-0043</x:v>
      </x:c>
      <x:c r="J114" s="19" t="str">
        <x:v>AAI-DEC-0024..0026</x:v>
      </x:c>
      <x:c r="K114" s="19" t="str">
        <x:v>HK-DGM-0001..0018</x:v>
      </x:c>
      <x:c r="L114" s="19" t="str">
        <x:v>L0–L7 assurance plus profile-specific adoption; no self-certification or adopted framework</x:v>
      </x:c>
    </x:row>
    <x:row r="115" ht="44" customHeight="1">
      <x:c r="A115" s="19" t="str">
        <x:v>HAPPY-KNOW-76</x:v>
      </x:c>
      <x:c r="B115" s="19" t="str">
        <x:v>Oleada 3D Delta Manifest</x:v>
      </x:c>
      <x:c r="C115" s="19" t="str">
        <x:v>Knowledge Compiler</x:v>
      </x:c>
      <x:c r="D115" s="19" t="str">
        <x:v>Manifest</x:v>
      </x:c>
      <x:c r="E115" s="19" t="str">
        <x:v>0.1.0-draft</x:v>
      </x:c>
      <x:c r="F115" s="19" t="str">
        <x:v>DRAFT</x:v>
      </x:c>
      <x:c r="G115" s="19" t="str">
        <x:v>PREPARED_NOT_DELIVERED</x:v>
      </x:c>
      <x:c r="H115" s="19" t="str">
        <x:v>Architecture/Knowledge</x:v>
      </x:c>
      <x:c r="I115" s="19" t="str">
        <x:v>AAI-SRC-0042; AAI-SRC-0043</x:v>
      </x:c>
      <x:c r="J115" s="19" t="str">
        <x:v>AAI-DEC-0024..0026</x:v>
      </x:c>
      <x:c r="K115" s="19" t="str">
        <x:v>HK-DGM-0001..0018</x:v>
      </x:c>
      <x:c r="L115" s="19" t="str">
        <x:v>Oleada 3D documentary/package assembly; no implementation</x:v>
      </x:c>
    </x:row>
    <x:row r="116" ht="44" customHeight="1">
      <x:c r="A116" s="19" t="str">
        <x:v>HAPPY-KNOW-77</x:v>
      </x:c>
      <x:c r="B116" s="19" t="str">
        <x:v>Oleada 3D Validation Report</x:v>
      </x:c>
      <x:c r="C116" s="19" t="str">
        <x:v>Knowledge Compiler</x:v>
      </x:c>
      <x:c r="D116" s="19" t="str">
        <x:v>Validation Report</x:v>
      </x:c>
      <x:c r="E116" s="19" t="str">
        <x:v>0.1.0-draft</x:v>
      </x:c>
      <x:c r="F116" s="19" t="str">
        <x:v>DRAFT</x:v>
      </x:c>
      <x:c r="G116" s="19" t="str">
        <x:v>PREPARED_NOT_DELIVERED</x:v>
      </x:c>
      <x:c r="H116" s="19" t="str">
        <x:v>Architecture/Knowledge</x:v>
      </x:c>
      <x:c r="I116" s="19" t="str">
        <x:v>AAI-SRC-0042; AAI-SRC-0043</x:v>
      </x:c>
      <x:c r="J116" s="19" t="str">
        <x:v>AAI-DEC-0024..0026</x:v>
      </x:c>
      <x:c r="K116" s="19" t="str">
        <x:v>HK-DGM-0001..0018</x:v>
      </x:c>
      <x:c r="L116" s="19" t="str">
        <x:v>Oleada 3D documentary/package assembly; no implementation</x:v>
      </x:c>
    </x:row>
    <x:row r="117" ht="44" customHeight="1">
      <x:c r="A117" s="19" t="str">
        <x:v>HAPPY-KNOW-78</x:v>
      </x:c>
      <x:c r="B117" s="19" t="str">
        <x:v>Oleada 3D Status</x:v>
      </x:c>
      <x:c r="C117" s="19" t="str">
        <x:v>Knowledge Compiler</x:v>
      </x:c>
      <x:c r="D117" s="19" t="str">
        <x:v>Status</x:v>
      </x:c>
      <x:c r="E117" s="19" t="str">
        <x:v>0.1.0-draft</x:v>
      </x:c>
      <x:c r="F117" s="19" t="str">
        <x:v>DRAFT</x:v>
      </x:c>
      <x:c r="G117" s="19" t="str">
        <x:v>PREPARED_NOT_DELIVERED</x:v>
      </x:c>
      <x:c r="H117" s="19" t="str">
        <x:v>Architecture/Knowledge</x:v>
      </x:c>
      <x:c r="I117" s="19" t="str">
        <x:v>AAI-SRC-0042; AAI-SRC-0043</x:v>
      </x:c>
      <x:c r="J117" s="19" t="str">
        <x:v>AAI-DEC-0024..0026</x:v>
      </x:c>
      <x:c r="K117" s="19" t="str">
        <x:v>HK-DGM-0001..0018</x:v>
      </x:c>
      <x:c r="L117" s="19" t="str">
        <x:v>Oleada 3D documentary/package assembly; no implementation</x:v>
      </x:c>
    </x:row>
    <x:row r="118" ht="44" customHeight="1">
      <x:c r="A118" s="19" t="str">
        <x:v>HAPPY-SEED-ROOT-0001</x:v>
      </x:c>
      <x:c r="B118" s="19" t="str">
        <x:v>README</x:v>
      </x:c>
      <x:c r="C118" s="19" t="str">
        <x:v>Seed Root</x:v>
      </x:c>
      <x:c r="D118" s="19" t="str">
        <x:v>Root entry</x:v>
      </x:c>
      <x:c r="E118" s="19" t="str">
        <x:v>0.9.1-acceptance-prep.1</x:v>
      </x:c>
      <x:c r="F118" s="19" t="str">
        <x:v>DRAFT</x:v>
      </x:c>
      <x:c r="G118" s="19" t="str">
        <x:v>PREPARED_NOT_DELIVERED</x:v>
      </x:c>
      <x:c r="H118" s="19" t="str">
        <x:v>Architecture/Delivery</x:v>
      </x:c>
      <x:c r="I118" s="19" t="str">
        <x:v>AAI-SRC-0042; AAI-SRC-0043</x:v>
      </x:c>
      <x:c r="J118" s="19" t="str">
        <x:v>AAI-DEC-0024..0026</x:v>
      </x:c>
      <x:c r="K118" s="19" t="str"/>
      <x:c r="L118" s="19" t="str">
        <x:v>Compact root; deep detail linked</x:v>
      </x:c>
    </x:row>
    <x:row r="119" ht="44" customHeight="1">
      <x:c r="A119" s="19" t="str">
        <x:v>HAPPY-SEED-ROOT-0002</x:v>
      </x:c>
      <x:c r="B119" s="19" t="str">
        <x:v>AGENTS</x:v>
      </x:c>
      <x:c r="C119" s="19" t="str">
        <x:v>Seed Root</x:v>
      </x:c>
      <x:c r="D119" s="19" t="str">
        <x:v>Agent contract</x:v>
      </x:c>
      <x:c r="E119" s="19" t="str">
        <x:v>0.9.1-acceptance-prep.1</x:v>
      </x:c>
      <x:c r="F119" s="19" t="str">
        <x:v>DRAFT</x:v>
      </x:c>
      <x:c r="G119" s="19" t="str">
        <x:v>PREPARED_NOT_DELIVERED</x:v>
      </x:c>
      <x:c r="H119" s="19" t="str">
        <x:v>Architecture/Delivery</x:v>
      </x:c>
      <x:c r="I119" s="19" t="str">
        <x:v>AAI-SRC-0042; AAI-SRC-0043</x:v>
      </x:c>
      <x:c r="J119" s="19" t="str">
        <x:v>AAI-DEC-0024..0026</x:v>
      </x:c>
      <x:c r="K119" s="19" t="str"/>
      <x:c r="L119" s="19" t="str">
        <x:v>Compact root; deep detail linked</x:v>
      </x:c>
    </x:row>
    <x:row r="120" ht="44" customHeight="1">
      <x:c r="A120" s="19" t="str">
        <x:v>HAPPY-SEED-ROOT-0003</x:v>
      </x:c>
      <x:c r="B120" s="19" t="str">
        <x:v>BOOTSTRAP</x:v>
      </x:c>
      <x:c r="C120" s="19" t="str">
        <x:v>Seed Root</x:v>
      </x:c>
      <x:c r="D120" s="19" t="str">
        <x:v>Bootstrap procedure</x:v>
      </x:c>
      <x:c r="E120" s="19" t="str">
        <x:v>0.9.1-acceptance-prep.1</x:v>
      </x:c>
      <x:c r="F120" s="19" t="str">
        <x:v>DRAFT</x:v>
      </x:c>
      <x:c r="G120" s="19" t="str">
        <x:v>PREPARED_NOT_DELIVERED</x:v>
      </x:c>
      <x:c r="H120" s="19" t="str">
        <x:v>Architecture/Delivery</x:v>
      </x:c>
      <x:c r="I120" s="19" t="str">
        <x:v>AAI-SRC-0042; AAI-SRC-0043</x:v>
      </x:c>
      <x:c r="J120" s="19" t="str">
        <x:v>AAI-DEC-0024..0026</x:v>
      </x:c>
      <x:c r="K120" s="19" t="str"/>
      <x:c r="L120" s="19" t="str">
        <x:v>Compact root; deep detail linked</x:v>
      </x:c>
    </x:row>
    <x:row r="121" ht="44" customHeight="1">
      <x:c r="A121" s="19" t="str">
        <x:v>HAPPY-SEED-ROOT-0004</x:v>
      </x:c>
      <x:c r="B121" s="19" t="str">
        <x:v>CONTEXT_PACK</x:v>
      </x:c>
      <x:c r="C121" s="19" t="str">
        <x:v>Seed Root</x:v>
      </x:c>
      <x:c r="D121" s="19" t="str">
        <x:v>Context view</x:v>
      </x:c>
      <x:c r="E121" s="19" t="str">
        <x:v>0.9.1-acceptance-prep.1</x:v>
      </x:c>
      <x:c r="F121" s="19" t="str">
        <x:v>DRAFT</x:v>
      </x:c>
      <x:c r="G121" s="19" t="str">
        <x:v>PREPARED_NOT_DELIVERED</x:v>
      </x:c>
      <x:c r="H121" s="19" t="str">
        <x:v>Architecture/Delivery</x:v>
      </x:c>
      <x:c r="I121" s="19" t="str">
        <x:v>AAI-SRC-0042; AAI-SRC-0043</x:v>
      </x:c>
      <x:c r="J121" s="19" t="str">
        <x:v>AAI-DEC-0024..0026</x:v>
      </x:c>
      <x:c r="K121" s="19" t="str"/>
      <x:c r="L121" s="19" t="str">
        <x:v>Compact root; deep detail linked</x:v>
      </x:c>
    </x:row>
    <x:row r="122" ht="44" customHeight="1">
      <x:c r="A122" s="19" t="str">
        <x:v>HAPPY-SEED-ROOT-0005</x:v>
      </x:c>
      <x:c r="B122" s="19" t="str">
        <x:v>HANDOFF_MANIFEST</x:v>
      </x:c>
      <x:c r="C122" s="19" t="str">
        <x:v>Seed Root</x:v>
      </x:c>
      <x:c r="D122" s="19" t="str">
        <x:v>Snapshot authority</x:v>
      </x:c>
      <x:c r="E122" s="19" t="str">
        <x:v>0.9.1-acceptance-prep.1</x:v>
      </x:c>
      <x:c r="F122" s="19" t="str">
        <x:v>DRAFT</x:v>
      </x:c>
      <x:c r="G122" s="19" t="str">
        <x:v>PREPARED_NOT_DELIVERED</x:v>
      </x:c>
      <x:c r="H122" s="19" t="str">
        <x:v>Architecture/Delivery</x:v>
      </x:c>
      <x:c r="I122" s="19" t="str">
        <x:v>AAI-SRC-0042; AAI-SRC-0043</x:v>
      </x:c>
      <x:c r="J122" s="19" t="str">
        <x:v>AAI-DEC-0024..0026</x:v>
      </x:c>
      <x:c r="K122" s="19" t="str"/>
      <x:c r="L122" s="19" t="str">
        <x:v>Compact root; deep detail linked</x:v>
      </x:c>
    </x:row>
    <x:row r="123" ht="44" customHeight="1">
      <x:c r="A123" s="19" t="str">
        <x:v>HAPPY-SEED-ROOT-0006</x:v>
      </x:c>
      <x:c r="B123" s="19" t="str">
        <x:v>SEED_V1_READINESS</x:v>
      </x:c>
      <x:c r="C123" s="19" t="str">
        <x:v>Seed Root</x:v>
      </x:c>
      <x:c r="D123" s="19" t="str">
        <x:v>Gate view</x:v>
      </x:c>
      <x:c r="E123" s="19" t="str">
        <x:v>0.9.1-acceptance-prep.1</x:v>
      </x:c>
      <x:c r="F123" s="19" t="str">
        <x:v>DRAFT</x:v>
      </x:c>
      <x:c r="G123" s="19" t="str">
        <x:v>PREPARED_NOT_DELIVERED</x:v>
      </x:c>
      <x:c r="H123" s="19" t="str">
        <x:v>Architecture/Delivery</x:v>
      </x:c>
      <x:c r="I123" s="19" t="str">
        <x:v>AAI-SRC-0042; AAI-SRC-0043</x:v>
      </x:c>
      <x:c r="J123" s="19" t="str">
        <x:v>AAI-DEC-0024..0026</x:v>
      </x:c>
      <x:c r="K123" s="19" t="str"/>
      <x:c r="L123" s="19" t="str">
        <x:v>Compact root; deep detail linked</x:v>
      </x:c>
    </x:row>
    <x:row r="124" ht="44" customHeight="1">
      <x:c r="A124" s="19" t="str">
        <x:v>HAPPY-SEED-ROOT-0007</x:v>
      </x:c>
      <x:c r="B124" s="19" t="str">
        <x:v>EVOLUTION_STRATEGY</x:v>
      </x:c>
      <x:c r="C124" s="19" t="str">
        <x:v>Seed Root</x:v>
      </x:c>
      <x:c r="D124" s="19" t="str">
        <x:v>Evolution view</x:v>
      </x:c>
      <x:c r="E124" s="19" t="str">
        <x:v>0.9.1-acceptance-prep.1</x:v>
      </x:c>
      <x:c r="F124" s="19" t="str">
        <x:v>DRAFT</x:v>
      </x:c>
      <x:c r="G124" s="19" t="str">
        <x:v>PREPARED_NOT_DELIVERED</x:v>
      </x:c>
      <x:c r="H124" s="19" t="str">
        <x:v>Architecture/Delivery</x:v>
      </x:c>
      <x:c r="I124" s="19" t="str">
        <x:v>AAI-SRC-0042; AAI-SRC-0043</x:v>
      </x:c>
      <x:c r="J124" s="19" t="str">
        <x:v>AAI-DEC-0024..0026</x:v>
      </x:c>
      <x:c r="K124" s="19" t="str"/>
      <x:c r="L124" s="19" t="str">
        <x:v>Compact root; deep detail linked</x:v>
      </x:c>
    </x:row>
    <x:row r="125" ht="44" customHeight="1">
      <x:c r="A125" s="19" t="str">
        <x:v>HAPPY-SEED-ROOT-0008</x:v>
      </x:c>
      <x:c r="B125" s="19" t="str">
        <x:v>CURRENT_IMPLEMENTATION_BASELINE</x:v>
      </x:c>
      <x:c r="C125" s="19" t="str">
        <x:v>Seed Root</x:v>
      </x:c>
      <x:c r="D125" s="19" t="str">
        <x:v>Unverified baseline</x:v>
      </x:c>
      <x:c r="E125" s="19" t="str">
        <x:v>0.9.1-acceptance-prep.1</x:v>
      </x:c>
      <x:c r="F125" s="19" t="str">
        <x:v>DRAFT</x:v>
      </x:c>
      <x:c r="G125" s="19" t="str">
        <x:v>PREPARED_NOT_DELIVERED</x:v>
      </x:c>
      <x:c r="H125" s="19" t="str">
        <x:v>Architecture/Delivery</x:v>
      </x:c>
      <x:c r="I125" s="19" t="str">
        <x:v>AAI-SRC-0042; AAI-SRC-0043</x:v>
      </x:c>
      <x:c r="J125" s="19" t="str">
        <x:v>AAI-DEC-0024..0026</x:v>
      </x:c>
      <x:c r="K125" s="19" t="str"/>
      <x:c r="L125" s="19" t="str">
        <x:v>Compact root; deep detail linked</x:v>
      </x:c>
    </x:row>
    <x:row r="126" ht="44" customHeight="1">
      <x:c r="A126" s="19" t="str">
        <x:v>HAPPY-SEED-ROOT-0009</x:v>
      </x:c>
      <x:c r="B126" s="19" t="str">
        <x:v>REPOSITORY_MAP</x:v>
      </x:c>
      <x:c r="C126" s="19" t="str">
        <x:v>Seed Root</x:v>
      </x:c>
      <x:c r="D126" s="19" t="str">
        <x:v>Repository boundary</x:v>
      </x:c>
      <x:c r="E126" s="19" t="str">
        <x:v>0.9.1-acceptance-prep.1</x:v>
      </x:c>
      <x:c r="F126" s="19" t="str">
        <x:v>DRAFT</x:v>
      </x:c>
      <x:c r="G126" s="19" t="str">
        <x:v>PREPARED_NOT_DELIVERED</x:v>
      </x:c>
      <x:c r="H126" s="19" t="str">
        <x:v>Architecture/Delivery</x:v>
      </x:c>
      <x:c r="I126" s="19" t="str">
        <x:v>AAI-SRC-0042; AAI-SRC-0043</x:v>
      </x:c>
      <x:c r="J126" s="19" t="str">
        <x:v>AAI-DEC-0024..0026</x:v>
      </x:c>
      <x:c r="K126" s="19" t="str"/>
      <x:c r="L126" s="19" t="str">
        <x:v>Compact root; deep detail linked</x:v>
      </x:c>
    </x:row>
    <x:row r="127" ht="44" customHeight="1">
      <x:c r="A127" s="19" t="str">
        <x:v>HAPPY-SEED-ROOT-0010</x:v>
      </x:c>
      <x:c r="B127" s="19" t="str">
        <x:v>CAPABILITY_MAP</x:v>
      </x:c>
      <x:c r="C127" s="19" t="str">
        <x:v>Seed Root</x:v>
      </x:c>
      <x:c r="D127" s="19" t="str">
        <x:v>Capability root view</x:v>
      </x:c>
      <x:c r="E127" s="19" t="str">
        <x:v>0.9.1-acceptance-prep.1</x:v>
      </x:c>
      <x:c r="F127" s="19" t="str">
        <x:v>DRAFT</x:v>
      </x:c>
      <x:c r="G127" s="19" t="str">
        <x:v>PREPARED_NOT_DELIVERED</x:v>
      </x:c>
      <x:c r="H127" s="19" t="str">
        <x:v>Architecture/Delivery</x:v>
      </x:c>
      <x:c r="I127" s="19" t="str">
        <x:v>AAI-SRC-0042; AAI-SRC-0043</x:v>
      </x:c>
      <x:c r="J127" s="19" t="str">
        <x:v>AAI-DEC-0024..0026</x:v>
      </x:c>
      <x:c r="K127" s="19" t="str"/>
      <x:c r="L127" s="19" t="str">
        <x:v>Compact root; deep detail linked</x:v>
      </x:c>
    </x:row>
    <x:row r="128" ht="44" customHeight="1">
      <x:c r="A128" s="19" t="str">
        <x:v>HAPPY-SEED-ROOT-0011</x:v>
      </x:c>
      <x:c r="B128" s="19" t="str">
        <x:v>OPERATING_MODEL</x:v>
      </x:c>
      <x:c r="C128" s="19" t="str">
        <x:v>Seed Root</x:v>
      </x:c>
      <x:c r="D128" s="19" t="str">
        <x:v>Work/Loop root view</x:v>
      </x:c>
      <x:c r="E128" s="19" t="str">
        <x:v>0.9.1-acceptance-prep.1</x:v>
      </x:c>
      <x:c r="F128" s="19" t="str">
        <x:v>DRAFT</x:v>
      </x:c>
      <x:c r="G128" s="19" t="str">
        <x:v>PREPARED_NOT_DELIVERED</x:v>
      </x:c>
      <x:c r="H128" s="19" t="str">
        <x:v>Architecture/Delivery</x:v>
      </x:c>
      <x:c r="I128" s="19" t="str">
        <x:v>AAI-SRC-0042; AAI-SRC-0043</x:v>
      </x:c>
      <x:c r="J128" s="19" t="str">
        <x:v>AAI-DEC-0024..0026</x:v>
      </x:c>
      <x:c r="K128" s="19" t="str"/>
      <x:c r="L128" s="19" t="str">
        <x:v>Compact root; deep detail linked</x:v>
      </x:c>
    </x:row>
    <x:row r="129" ht="48" customHeight="1">
      <x:c r="A129" s="19" t="str">
        <x:v>HAPPY-KNOW-79</x:v>
      </x:c>
      <x:c r="B129" s="19" t="str">
        <x:v>Federated Organizational Evolution &amp; Domain Capability Direction</x:v>
      </x:c>
      <x:c r="C129" s="19" t="str">
        <x:v>Knowledge Compiler</x:v>
      </x:c>
      <x:c r="D129" s="19" t="str">
        <x:v>Evolution/Authority Model</x:v>
      </x:c>
      <x:c r="E129" s="19" t="str">
        <x:v>0.1.0-draft</x:v>
      </x:c>
      <x:c r="F129" s="19" t="str">
        <x:v>DRAFT</x:v>
      </x:c>
      <x:c r="G129" s="19" t="str">
        <x:v>PREPARED_NOT_DELIVERED</x:v>
      </x:c>
      <x:c r="H129" s="19" t="str">
        <x:v>Architecture/Knowledge</x:v>
      </x:c>
      <x:c r="I129" s="19" t="str">
        <x:v>AAI-SRC-0046; AAI-SRC-0047</x:v>
      </x:c>
      <x:c r="J129" s="19" t="str">
        <x:v>AAI-DEC-0027</x:v>
      </x:c>
      <x:c r="K129" s="19" t="str">
        <x:v>HK-DGM-0019/0020</x:v>
      </x:c>
      <x:c r="L129" s="19" t="str">
        <x:v>3E reconciliation; no implementation, standard adoption or new Spec</x:v>
      </x:c>
    </x:row>
    <x:row r="130" ht="48" customHeight="1">
      <x:c r="A130" s="19" t="str">
        <x:v>HAPPY-KNOW-80</x:v>
      </x:c>
      <x:c r="B130" s="19" t="str">
        <x:v>Knowledge Geometry, Assurance &amp; Governed Self-Knowledge</x:v>
      </x:c>
      <x:c r="C130" s="19" t="str">
        <x:v>Knowledge Compiler</x:v>
      </x:c>
      <x:c r="D130" s="19" t="str">
        <x:v>Model-of-Models</x:v>
      </x:c>
      <x:c r="E130" s="19" t="str">
        <x:v>0.1.0-draft</x:v>
      </x:c>
      <x:c r="F130" s="19" t="str">
        <x:v>DRAFT</x:v>
      </x:c>
      <x:c r="G130" s="19" t="str">
        <x:v>PREPARED_NOT_DELIVERED</x:v>
      </x:c>
      <x:c r="H130" s="19" t="str">
        <x:v>Architecture/Knowledge</x:v>
      </x:c>
      <x:c r="I130" s="19" t="str">
        <x:v>AAI-SRC-0046; AAI-SRC-0047</x:v>
      </x:c>
      <x:c r="J130" s="19" t="str">
        <x:v>AAI-DEC-0027</x:v>
      </x:c>
      <x:c r="K130" s="19" t="str">
        <x:v>HK-DGM-0019/0020</x:v>
      </x:c>
      <x:c r="L130" s="19" t="str">
        <x:v>3E reconciliation; no implementation, standard adoption or new Spec</x:v>
      </x:c>
    </x:row>
    <x:row r="131" ht="48" customHeight="1">
      <x:c r="A131" s="19" t="str">
        <x:v>HAPPY-KNOW-81</x:v>
      </x:c>
      <x:c r="B131" s="19" t="str">
        <x:v>Seed Compression &amp; Autonomous Expansion Validation</x:v>
      </x:c>
      <x:c r="C131" s="19" t="str">
        <x:v>Knowledge Compiler</x:v>
      </x:c>
      <x:c r="D131" s="19" t="str">
        <x:v>Documentary Validation</x:v>
      </x:c>
      <x:c r="E131" s="19" t="str">
        <x:v>0.1.0-draft</x:v>
      </x:c>
      <x:c r="F131" s="19" t="str">
        <x:v>DRAFT</x:v>
      </x:c>
      <x:c r="G131" s="19" t="str">
        <x:v>PREPARED_NOT_DELIVERED</x:v>
      </x:c>
      <x:c r="H131" s="19" t="str">
        <x:v>Architecture/Knowledge</x:v>
      </x:c>
      <x:c r="I131" s="19" t="str">
        <x:v>AAI-SRC-0046; AAI-SRC-0047</x:v>
      </x:c>
      <x:c r="J131" s="19" t="str">
        <x:v>AAI-DEC-0027</x:v>
      </x:c>
      <x:c r="K131" s="19" t="str">
        <x:v>HK-DGM-0019/0020</x:v>
      </x:c>
      <x:c r="L131" s="19" t="str">
        <x:v>3E reconciliation; no implementation, standard adoption or new Spec</x:v>
      </x:c>
    </x:row>
    <x:row r="132" ht="48" customHeight="1">
      <x:c r="A132" s="19" t="str">
        <x:v>HAPPY-KNOW-82</x:v>
      </x:c>
      <x:c r="B132" s="19" t="str">
        <x:v>Post-Handoff Devin Expansion Obligations</x:v>
      </x:c>
      <x:c r="C132" s="19" t="str">
        <x:v>Knowledge Compiler</x:v>
      </x:c>
      <x:c r="D132" s="19" t="str">
        <x:v>Expansion Contract</x:v>
      </x:c>
      <x:c r="E132" s="19" t="str">
        <x:v>0.1.0-draft</x:v>
      </x:c>
      <x:c r="F132" s="19" t="str">
        <x:v>DRAFT</x:v>
      </x:c>
      <x:c r="G132" s="19" t="str">
        <x:v>PREPARED_NOT_DELIVERED</x:v>
      </x:c>
      <x:c r="H132" s="19" t="str">
        <x:v>Architecture/Knowledge</x:v>
      </x:c>
      <x:c r="I132" s="19" t="str">
        <x:v>AAI-SRC-0046; AAI-SRC-0047</x:v>
      </x:c>
      <x:c r="J132" s="19" t="str">
        <x:v>AAI-DEC-0027</x:v>
      </x:c>
      <x:c r="K132" s="19" t="str">
        <x:v>HK-DGM-0019/0020</x:v>
      </x:c>
      <x:c r="L132" s="19" t="str">
        <x:v>EXP-ACCEPT-001..009 root-discoverable; post-handoff only</x:v>
      </x:c>
    </x:row>
    <x:row r="133" ht="48" customHeight="1">
      <x:c r="A133" s="19" t="str">
        <x:v>HAPPY-KNOW-83</x:v>
      </x:c>
      <x:c r="B133" s="19" t="str">
        <x:v>Oleada 3E Delta Manifest</x:v>
      </x:c>
      <x:c r="C133" s="19" t="str">
        <x:v>Knowledge Compiler</x:v>
      </x:c>
      <x:c r="D133" s="19" t="str">
        <x:v>Manifest</x:v>
      </x:c>
      <x:c r="E133" s="19" t="str">
        <x:v>0.1.0-draft</x:v>
      </x:c>
      <x:c r="F133" s="19" t="str">
        <x:v>DRAFT</x:v>
      </x:c>
      <x:c r="G133" s="19" t="str">
        <x:v>PREPARED_NOT_DELIVERED</x:v>
      </x:c>
      <x:c r="H133" s="19" t="str">
        <x:v>Architecture/Knowledge</x:v>
      </x:c>
      <x:c r="I133" s="19" t="str">
        <x:v>AAI-SRC-0046; AAI-SRC-0047</x:v>
      </x:c>
      <x:c r="J133" s="19" t="str">
        <x:v>AAI-DEC-0027</x:v>
      </x:c>
      <x:c r="K133" s="19" t="str">
        <x:v>HK-DGM-0019/0020</x:v>
      </x:c>
      <x:c r="L133" s="19" t="str">
        <x:v>3E reconciliation; no implementation, standard adoption or new Spec</x:v>
      </x:c>
    </x:row>
    <x:row r="134" ht="48" customHeight="1">
      <x:c r="A134" s="19" t="str">
        <x:v>HAPPY-KNOW-84</x:v>
      </x:c>
      <x:c r="B134" s="19" t="str">
        <x:v>Oleada 3E Validation Report</x:v>
      </x:c>
      <x:c r="C134" s="19" t="str">
        <x:v>Knowledge Compiler</x:v>
      </x:c>
      <x:c r="D134" s="19" t="str">
        <x:v>Validation Report</x:v>
      </x:c>
      <x:c r="E134" s="19" t="str">
        <x:v>0.1.0-draft</x:v>
      </x:c>
      <x:c r="F134" s="19" t="str">
        <x:v>DRAFT</x:v>
      </x:c>
      <x:c r="G134" s="19" t="str">
        <x:v>PREPARED_NOT_DELIVERED</x:v>
      </x:c>
      <x:c r="H134" s="19" t="str">
        <x:v>Architecture/Knowledge</x:v>
      </x:c>
      <x:c r="I134" s="19" t="str">
        <x:v>AAI-SRC-0046; AAI-SRC-0047</x:v>
      </x:c>
      <x:c r="J134" s="19" t="str">
        <x:v>AAI-DEC-0027</x:v>
      </x:c>
      <x:c r="K134" s="19" t="str">
        <x:v>HK-DGM-0019/0020</x:v>
      </x:c>
      <x:c r="L134" s="19" t="str">
        <x:v>3E reconciliation; no implementation, standard adoption or new Spec</x:v>
      </x:c>
    </x:row>
    <x:row r="135" ht="48" customHeight="1">
      <x:c r="A135" s="19" t="str">
        <x:v>HAPPY-KNOW-85</x:v>
      </x:c>
      <x:c r="B135" s="19" t="str">
        <x:v>Oleada 3E Status</x:v>
      </x:c>
      <x:c r="C135" s="19" t="str">
        <x:v>Knowledge Compiler</x:v>
      </x:c>
      <x:c r="D135" s="19" t="str">
        <x:v>Status</x:v>
      </x:c>
      <x:c r="E135" s="19" t="str">
        <x:v>0.1.0-draft</x:v>
      </x:c>
      <x:c r="F135" s="19" t="str">
        <x:v>DRAFT</x:v>
      </x:c>
      <x:c r="G135" s="19" t="str">
        <x:v>PREPARED_NOT_DELIVERED</x:v>
      </x:c>
      <x:c r="H135" s="19" t="str">
        <x:v>Architecture/Knowledge</x:v>
      </x:c>
      <x:c r="I135" s="19" t="str">
        <x:v>AAI-SRC-0046; AAI-SRC-0047</x:v>
      </x:c>
      <x:c r="J135" s="19" t="str">
        <x:v>AAI-DEC-0027</x:v>
      </x:c>
      <x:c r="K135" s="19" t="str">
        <x:v>HK-DGM-0019/0020</x:v>
      </x:c>
      <x:c r="L135" s="19" t="str">
        <x:v>3E reconciliation; no implementation, standard adoption or new Spec</x:v>
      </x:c>
    </x:row>
    <x:row r="136" ht="48" customHeight="1">
      <x:c r="A136" s="19" t="str">
        <x:v>HAPPY-SEED-ROOT-0012</x:v>
      </x:c>
      <x:c r="B136" s="19" t="str">
        <x:v>EXPANSION_OBLIGATIONS</x:v>
      </x:c>
      <x:c r="C136" s="19" t="str">
        <x:v>Seed Root</x:v>
      </x:c>
      <x:c r="D136" s="19" t="str">
        <x:v>Post-handoff obligation view</x:v>
      </x:c>
      <x:c r="E136" s="19" t="str">
        <x:v>0.9.1-acceptance-prep.1</x:v>
      </x:c>
      <x:c r="F136" s="19" t="str">
        <x:v>DRAFT</x:v>
      </x:c>
      <x:c r="G136" s="19" t="str">
        <x:v>PREPARED_NOT_DELIVERED</x:v>
      </x:c>
      <x:c r="H136" s="19" t="str">
        <x:v>Architecture/Delivery</x:v>
      </x:c>
      <x:c r="I136" s="19" t="str">
        <x:v>AAI-SRC-0046; AAI-SRC-0047</x:v>
      </x:c>
      <x:c r="J136" s="19" t="str">
        <x:v>AAI-DEC-0020/0027</x:v>
      </x:c>
      <x:c r="K136" s="19" t="str"/>
      <x:c r="L136" s="19" t="str">
        <x:v>Compact root view; detail linked to HAPPY-KNOW-82</x:v>
      </x:c>
    </x:row>
    <x:row r="137" ht="50" customHeight="1">
      <x:c r="A137" s="19" t="str">
        <x:v>HAPPY-KNOW-86</x:v>
      </x:c>
      <x:c r="B137" s="19" t="str">
        <x:v>Seed Acceptance Preparation &amp; Reconciliation Status</x:v>
      </x:c>
      <x:c r="C137" s="19" t="str">
        <x:v>Knowledge Compiler</x:v>
      </x:c>
      <x:c r="D137" s="19" t="str">
        <x:v>Acceptance/Status</x:v>
      </x:c>
      <x:c r="E137" s="19" t="str">
        <x:v>0.1.0-draft</x:v>
      </x:c>
      <x:c r="F137" s="19" t="str">
        <x:v>DRAFT</x:v>
      </x:c>
      <x:c r="G137" s="19" t="str">
        <x:v>PREPARED_NOT_DELIVERED</x:v>
      </x:c>
      <x:c r="H137" s="19" t="str">
        <x:v>Acceptance/Assurance</x:v>
      </x:c>
      <x:c r="I137" s="19" t="str">
        <x:v>AAI-SRC-0050; AAI-SRC-0051</x:v>
      </x:c>
      <x:c r="J137" s="19" t="str">
        <x:v>AAI-DEC-0023</x:v>
      </x:c>
      <x:c r="K137" s="19" t="str"/>
      <x:c r="L137" s="19" t="str">
        <x:v>Gate/source/milestone status; no execution claim</x:v>
      </x:c>
    </x:row>
    <x:row r="138" ht="50" customHeight="1">
      <x:c r="A138" s="19" t="str">
        <x:v>HAPPY-SEED-ROOT-0013</x:v>
      </x:c>
      <x:c r="B138" s="19" t="str">
        <x:v>ACCEPTANCE</x:v>
      </x:c>
      <x:c r="C138" s="19" t="str">
        <x:v>Seed Root</x:v>
      </x:c>
      <x:c r="D138" s="19" t="str">
        <x:v>Acceptance Runbook</x:v>
      </x:c>
      <x:c r="E138" s="19" t="str">
        <x:v>0.9.1-acceptance-prep.1</x:v>
      </x:c>
      <x:c r="F138" s="19" t="str">
        <x:v>DRAFT</x:v>
      </x:c>
      <x:c r="G138" s="19" t="str">
        <x:v>PREPARED_NOT_DELIVERED</x:v>
      </x:c>
      <x:c r="H138" s="19" t="str">
        <x:v>Handoff/Validation</x:v>
      </x:c>
      <x:c r="I138" s="19" t="str">
        <x:v>AAI-SRC-0050; AAI-SRC-0051</x:v>
      </x:c>
      <x:c r="J138" s="19" t="str">
        <x:v>AAI-DEC-0023</x:v>
      </x:c>
      <x:c r="K138" s="19" t="str"/>
      <x:c r="L138" s="19" t="str">
        <x:v>Compact runbook; tests remain DESIGNED_NOT_EXECUTED</x:v>
      </x:c>
    </x:row>
    <x:row r="139" ht="50" customHeight="1">
      <x:c r="A139" s="19" t="str">
        <x:v>HAPPY-KNOW-87</x:v>
      </x:c>
      <x:c r="B139" s="19" t="str">
        <x:v>Seed Final Closure &amp; Handoff Readiness</x:v>
      </x:c>
      <x:c r="C139" s="19" t="str">
        <x:v>Knowledge Compiler</x:v>
      </x:c>
      <x:c r="D139" s="19" t="str">
        <x:v>Handoff/Closure</x:v>
      </x:c>
      <x:c r="E139" s="19" t="str">
        <x:v>1.0.0-rc1</x:v>
      </x:c>
      <x:c r="F139" s="19" t="str">
        <x:v>HANDOFF_READY</x:v>
      </x:c>
      <x:c r="G139" s="19" t="str">
        <x:v>PREPARED_NOT_DELIVERED</x:v>
      </x:c>
      <x:c r="H139" s="19" t="str">
        <x:v>Seed/Readiness</x:v>
      </x:c>
      <x:c r="I139" s="19" t="str">
        <x:v>AAI-SRC-0054</x:v>
      </x:c>
      <x:c r="J139" s="19" t="str">
        <x:v>AAI-DEC-0028</x:v>
      </x:c>
      <x:c r="K139" s="19" t="str"/>
      <x:c r="L139" s="19" t="str">
        <x:v>Scoped gates; handoff TRUE, build FALSE</x:v>
      </x:c>
    </x:row>
    <x:row r="140" ht="50" customHeight="1">
      <x:c r="A140" s="19" t="str">
        <x:v>HAPPY-KNOW-88</x:v>
      </x:c>
      <x:c r="B140" s="19" t="str">
        <x:v>Deferred to Devin Bootstrap Register</x:v>
      </x:c>
      <x:c r="C140" s="19" t="str">
        <x:v>Knowledge Compiler</x:v>
      </x:c>
      <x:c r="D140" s="19" t="str">
        <x:v>Bootstrap/Execution</x:v>
      </x:c>
      <x:c r="E140" s="19" t="str">
        <x:v>1.0.0-rc1</x:v>
      </x:c>
      <x:c r="F140" s="19" t="str">
        <x:v>CANONICAL_HANDOFF_REGISTER</x:v>
      </x:c>
      <x:c r="G140" s="19" t="str">
        <x:v>PREPARED_NOT_DELIVERED</x:v>
      </x:c>
      <x:c r="H140" s="19" t="str">
        <x:v>Bootstrap/Acceptance</x:v>
      </x:c>
      <x:c r="I140" s="19" t="str">
        <x:v>AAI-SRC-0054</x:v>
      </x:c>
      <x:c r="J140" s="19" t="str">
        <x:v>AAI-DEC-0028</x:v>
      </x:c>
      <x:c r="K140" s="19" t="str"/>
      <x:c r="L140" s="19" t="str">
        <x:v>Explicit inputs/outputs/verification for deferred execution</x:v>
      </x:c>
    </x:row>
    <x:row r="141" ht="50" customHeight="1">
      <x:c r="A141" s="19" t="str">
        <x:v>HAPPY-KNOW-89</x:v>
      </x:c>
      <x:c r="B141" s="19" t="str">
        <x:v>Seed Final Validation Report</x:v>
      </x:c>
      <x:c r="C141" s="19" t="str">
        <x:v>Knowledge Compiler</x:v>
      </x:c>
      <x:c r="D141" s="19" t="str">
        <x:v>Validation</x:v>
      </x:c>
      <x:c r="E141" s="19" t="str">
        <x:v>1.0.0-rc1</x:v>
      </x:c>
      <x:c r="F141" s="19" t="str">
        <x:v>VALIDATED_LOCAL</x:v>
      </x:c>
      <x:c r="G141" s="19" t="str">
        <x:v>PREPARED_NOT_DELIVERED</x:v>
      </x:c>
      <x:c r="H141" s="19" t="str">
        <x:v>Package/Integrity</x:v>
      </x:c>
      <x:c r="I141" s="19" t="str">
        <x:v>AAI-SRC-0055</x:v>
      </x:c>
      <x:c r="J141" s="19" t="str">
        <x:v>AAI-DEC-0026/0028</x:v>
      </x:c>
      <x:c r="K141" s="19" t="str"/>
      <x:c r="L141" s="19" t="str">
        <x:v>Final deterministic package validation</x:v>
      </x:c>
    </x:row>
  </x:sheetData>
  <x:dataValidations count="6">
    <x:dataValidation type="list" sqref="F2:F200">
      <x:formula1>"IDENTIFIED,EXTRACTING,DRAFT,IN_REVIEW,APPROVED,SUPERSEDED,RETIRED"</x:formula1>
    </x:dataValidation>
    <x:dataValidation type="list" sqref="G2:G200">
      <x:formula1>"NOT_PLANNED,PREPARED_NOT_DELIVERED,DELIVERED_TO_DEVIN,ACKNOWLEDGED,EXECUTED,RESULT_RECEIVED,RECONCILED"</x:formula1>
    </x:dataValidation>
    <x:dataValidation type="list" sqref="F2:F250">
      <x:formula1>"IDENTIFIED,EXTRACTING,DRAFT,IN_REVIEW,APPROVED,SUPERSEDED,RETIRED"</x:formula1>
    </x:dataValidation>
    <x:dataValidation type="list" sqref="G2:G250">
      <x:formula1>"NOT_PLANNED,PREPARED_NOT_DELIVERED,DELIVERED_TO_DEVIN,ACKNOWLEDGED,EXECUTED,RESULT_RECEIVED,RECONCILED"</x:formula1>
    </x:dataValidation>
    <x:dataValidation type="list" sqref="F2:F300">
      <x:formula1>"IDENTIFIED,EXTRACTING,DRAFT,IN_REVIEW,APPROVED,SUPERSEDED,RETIRED"</x:formula1>
    </x:dataValidation>
    <x:dataValidation type="list" sqref="G2:G300">
      <x:formula1>"NOT_PLANNED,PREPARED_NOT_DELIVERED,DELIVERED_TO_DEVIN,ACKNOWLEDGED,EXECUTED,RESULT_RECEIVED,RECONCILED"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22" hidden="0" customWidth="1"/>
    <x:col min="8" max="8" width="22" hidden="0" customWidth="1"/>
    <x:col min="9" max="9" width="22" hidden="0" customWidth="1"/>
    <x:col min="10" max="10" width="44" hidden="0" customWidth="1"/>
  </x:cols>
  <x:sheetData>
    <x:row r="1">
      <x:c r="A1" s="5" t="str">
        <x:v>Source ID</x:v>
      </x:c>
      <x:c r="B1" s="5" t="str">
        <x:v>Title</x:v>
      </x:c>
      <x:c r="C1" s="5" t="str">
        <x:v>Source type</x:v>
      </x:c>
      <x:c r="D1" s="5" t="str">
        <x:v>Domain</x:v>
      </x:c>
      <x:c r="E1" s="5" t="str">
        <x:v>Priority</x:v>
      </x:c>
      <x:c r="F1" s="5" t="str">
        <x:v>Source date</x:v>
      </x:c>
      <x:c r="G1" s="5" t="str">
        <x:v>Availability</x:v>
      </x:c>
      <x:c r="H1" s="5" t="str">
        <x:v>Extraction status</x:v>
      </x:c>
      <x:c r="I1" s="5" t="str">
        <x:v>Reliability</x:v>
      </x:c>
      <x:c r="J1" s="5" t="str">
        <x:v>Notes</x:v>
      </x:c>
    </x:row>
    <x:row r="2">
      <x:c r="A2" s="18" t="str">
        <x:v>AAI-SRC-0001</x:v>
      </x:c>
      <x:c r="B2" s="18" t="str">
        <x:v>Agentes IA en Windows</x:v>
      </x:c>
      <x:c r="C2" s="18" t="str">
        <x:v>Chat</x:v>
      </x:c>
      <x:c r="D2" s="18" t="str">
        <x:v>Architecture AI</x:v>
      </x:c>
      <x:c r="E2" s="18" t="str">
        <x:v>Critical</x:v>
      </x:c>
      <x:c r="F2" s="18" t="str">
        <x:v>2026-08-23</x:v>
      </x:c>
      <x:c r="G2" s="18" t="str">
        <x:v>Project context</x:v>
      </x:c>
      <x:c r="H2" s="18" t="str">
        <x:v>IDENTIFIED</x:v>
      </x:c>
      <x:c r="I2" s="18" t="str">
        <x:v>HIGH</x:v>
      </x:c>
      <x:c r="J2" s="18" t="str">
        <x:v>Principal corpus de implementación</x:v>
      </x:c>
    </x:row>
    <x:row r="3">
      <x:c r="A3" s="18" t="str">
        <x:v>AAI-SRC-0002</x:v>
      </x:c>
      <x:c r="B3" s="18" t="str">
        <x:v>Plataforma Inteligente Arquitectural</x:v>
      </x:c>
      <x:c r="C3" s="18" t="str">
        <x:v>Chat</x:v>
      </x:c>
      <x:c r="D3" s="18" t="str">
        <x:v>Product/Research</x:v>
      </x:c>
      <x:c r="E3" s="18" t="str">
        <x:v>Critical</x:v>
      </x:c>
      <x:c r="F3" s="18" t="str">
        <x:v>2026-06-17</x:v>
      </x:c>
      <x:c r="G3" s="18" t="str">
        <x:v>Project context</x:v>
      </x:c>
      <x:c r="H3" s="18" t="str">
        <x:v>IDENTIFIED</x:v>
      </x:c>
      <x:c r="I3" s="18" t="str">
        <x:v>HIGH</x:v>
      </x:c>
      <x:c r="J3" s="18" t="str">
        <x:v>Definición de copiloto de arquitectura</x:v>
      </x:c>
    </x:row>
    <x:row r="4">
      <x:c r="A4" s="18" t="str">
        <x:v>AAI-SRC-0003</x:v>
      </x:c>
      <x:c r="B4" s="18" t="str">
        <x:v>Arquitectura de soluciones bancaria</x:v>
      </x:c>
      <x:c r="C4" s="18" t="str">
        <x:v>Chat</x:v>
      </x:c>
      <x:c r="D4" s="18" t="str">
        <x:v>Banking</x:v>
      </x:c>
      <x:c r="E4" s="18" t="str">
        <x:v>Critical</x:v>
      </x:c>
      <x:c r="F4" s="18" t="str">
        <x:v>2026-08-26</x:v>
      </x:c>
      <x:c r="G4" s="18" t="str">
        <x:v>Project context</x:v>
      </x:c>
      <x:c r="H4" s="18" t="str">
        <x:v>IDENTIFIED</x:v>
      </x:c>
      <x:c r="I4" s="18" t="str">
        <x:v>HIGH</x:v>
      </x:c>
      <x:c r="J4" s="18" t="str">
        <x:v>Roles, riesgos y plataformas corporativas</x:v>
      </x:c>
    </x:row>
    <x:row r="5">
      <x:c r="A5" s="18" t="str">
        <x:v>AAI-SRC-0004</x:v>
      </x:c>
      <x:c r="B5" s="18" t="str">
        <x:v>Base de datos de grafos</x:v>
      </x:c>
      <x:c r="C5" s="18" t="str">
        <x:v>Chat</x:v>
      </x:c>
      <x:c r="D5" s="18" t="str">
        <x:v>Knowledge</x:v>
      </x:c>
      <x:c r="E5" s="18" t="str">
        <x:v>High</x:v>
      </x:c>
      <x:c r="F5" s="18" t="str">
        <x:v>2026-08-27</x:v>
      </x:c>
      <x:c r="G5" s="18" t="str">
        <x:v>Project context</x:v>
      </x:c>
      <x:c r="H5" s="18" t="str">
        <x:v>IDENTIFIED</x:v>
      </x:c>
      <x:c r="I5" s="18" t="str">
        <x:v>HIGH</x:v>
      </x:c>
      <x:c r="J5" s="18" t="str">
        <x:v>Neo4j y evolución del grafo</x:v>
      </x:c>
    </x:row>
    <x:row r="6">
      <x:c r="A6" s="18" t="str">
        <x:v>AAI-SRC-0005</x:v>
      </x:c>
      <x:c r="B6" s="18" t="str">
        <x:v>Manejo del contexto de Devin</x:v>
      </x:c>
      <x:c r="C6" s="18" t="str">
        <x:v>Chat</x:v>
      </x:c>
      <x:c r="D6" s="18" t="str">
        <x:v>Context/MCP</x:v>
      </x:c>
      <x:c r="E6" s="18" t="str">
        <x:v>High</x:v>
      </x:c>
      <x:c r="F6" s="18" t="str">
        <x:v>2026-08-17</x:v>
      </x:c>
      <x:c r="G6" s="18" t="str">
        <x:v>Project context</x:v>
      </x:c>
      <x:c r="H6" s="18" t="str">
        <x:v>IDENTIFIED</x:v>
      </x:c>
      <x:c r="I6" s="18" t="str">
        <x:v>HIGH</x:v>
      </x:c>
      <x:c r="J6" s="18" t="str">
        <x:v>MCP local y RAG</x:v>
      </x:c>
    </x:row>
    <x:row r="7">
      <x:c r="A7" s="18" t="str">
        <x:v>AAI-SRC-0006</x:v>
      </x:c>
      <x:c r="B7" s="18" t="str">
        <x:v>Prompt 00 — Master Bootstrap</x:v>
      </x:c>
      <x:c r="C7" s="18" t="str">
        <x:v>Prompt</x:v>
      </x:c>
      <x:c r="D7" s="18" t="str">
        <x:v>Devin</x:v>
      </x:c>
      <x:c r="E7" s="18" t="str">
        <x:v>Critical</x:v>
      </x:c>
      <x:c r="F7" s="18" t="str">
        <x:v>2026-08-23</x:v>
      </x:c>
      <x:c r="G7" s="18" t="str">
        <x:v>Confirmed</x:v>
      </x:c>
      <x:c r="H7" s="18" t="str">
        <x:v>EXTRACTED</x:v>
      </x:c>
      <x:c r="I7" s="18" t="str">
        <x:v>HIGH</x:v>
      </x:c>
      <x:c r="J7" s="18" t="str">
        <x:v>Enviado y ejecutado</x:v>
      </x:c>
    </x:row>
    <x:row r="8">
      <x:c r="A8" s="18" t="str">
        <x:v>AAI-SRC-0007</x:v>
      </x:c>
      <x:c r="B8" s="18" t="str">
        <x:v>Prompt 01 — Status Capture</x:v>
      </x:c>
      <x:c r="C8" s="18" t="str">
        <x:v>Prompt</x:v>
      </x:c>
      <x:c r="D8" s="18" t="str">
        <x:v>Baseline</x:v>
      </x:c>
      <x:c r="E8" s="18" t="str">
        <x:v>Critical</x:v>
      </x:c>
      <x:c r="F8" s="18" t="str">
        <x:v>2026-08-23</x:v>
      </x:c>
      <x:c r="G8" s="18" t="str">
        <x:v>Confirmed</x:v>
      </x:c>
      <x:c r="H8" s="18" t="str">
        <x:v>EXTRACTED</x:v>
      </x:c>
      <x:c r="I8" s="18" t="str">
        <x:v>HIGH</x:v>
      </x:c>
      <x:c r="J8" s="18" t="str">
        <x:v>Enviado y ejecutado</x:v>
      </x:c>
    </x:row>
    <x:row r="9">
      <x:c r="A9" s="18" t="str">
        <x:v>AAI-SRC-0008</x:v>
      </x:c>
      <x:c r="B9" s="18" t="str">
        <x:v>CURRENT_IMPLEMENTATION_BASELINE.md</x:v>
      </x:c>
      <x:c r="C9" s="18" t="str">
        <x:v>Report</x:v>
      </x:c>
      <x:c r="D9" s="18" t="str">
        <x:v>Implementation</x:v>
      </x:c>
      <x:c r="E9" s="18" t="str">
        <x:v>Critical</x:v>
      </x:c>
      <x:c r="F9" s="18" t="str">
        <x:v>2026-08-23</x:v>
      </x:c>
      <x:c r="G9" s="18" t="str">
        <x:v>Confirmed</x:v>
      </x:c>
      <x:c r="H9" s="18" t="str">
        <x:v>PARTIAL</x:v>
      </x:c>
      <x:c r="I9" s="18" t="str">
        <x:v>HIGH</x:v>
      </x:c>
      <x:c r="J9" s="18" t="str">
        <x:v>Baseline parcial; runtime bloqueado</x:v>
      </x:c>
    </x:row>
    <x:row r="10">
      <x:c r="A10" s="18" t="str">
        <x:v>AAI-SRC-0009</x:v>
      </x:c>
      <x:c r="B10" s="18" t="str">
        <x:v>DTO Middleware</x:v>
      </x:c>
      <x:c r="C10" s="18" t="str">
        <x:v>Chat</x:v>
      </x:c>
      <x:c r="D10" s="18" t="str">
        <x:v>Banking</x:v>
      </x:c>
      <x:c r="E10" s="18" t="str">
        <x:v>Medium</x:v>
      </x:c>
      <x:c r="F10" s="18" t="str"/>
      <x:c r="G10" s="18" t="str">
        <x:v>Project context</x:v>
      </x:c>
      <x:c r="H10" s="18" t="str">
        <x:v>IDENTIFIED</x:v>
      </x:c>
      <x:c r="I10" s="18" t="str">
        <x:v>HIGH</x:v>
      </x:c>
      <x:c r="J10" s="18" t="str">
        <x:v>Customer Position/Arc42</x:v>
      </x:c>
    </x:row>
    <x:row r="11">
      <x:c r="A11" s="18" t="str">
        <x:v>AAI-SRC-0010</x:v>
      </x:c>
      <x:c r="B11" s="18" t="str">
        <x:v>StarPass</x:v>
      </x:c>
      <x:c r="C11" s="18" t="str">
        <x:v>Chat</x:v>
      </x:c>
      <x:c r="D11" s="18" t="str">
        <x:v>Banking</x:v>
      </x:c>
      <x:c r="E11" s="18" t="str">
        <x:v>Medium</x:v>
      </x:c>
      <x:c r="F11" s="18" t="str"/>
      <x:c r="G11" s="18" t="str">
        <x:v>Project context</x:v>
      </x:c>
      <x:c r="H11" s="18" t="str">
        <x:v>IDENTIFIED</x:v>
      </x:c>
      <x:c r="I11" s="18" t="str">
        <x:v>HIGH</x:v>
      </x:c>
      <x:c r="J11" s="18" t="str">
        <x:v>Sagas, Gravity Plus, seguridad</x:v>
      </x:c>
    </x:row>
    <x:row r="12">
      <x:c r="A12" s="18" t="str">
        <x:v>AAI-SRC-0011</x:v>
      </x:c>
      <x:c r="B12" s="18" t="str">
        <x:v>Card Security / Change PIN</x:v>
      </x:c>
      <x:c r="C12" s="18" t="str">
        <x:v>Chat</x:v>
      </x:c>
      <x:c r="D12" s="18" t="str">
        <x:v>Banking</x:v>
      </x:c>
      <x:c r="E12" s="18" t="str">
        <x:v>Medium</x:v>
      </x:c>
      <x:c r="F12" s="18" t="str"/>
      <x:c r="G12" s="18" t="str">
        <x:v>Project context</x:v>
      </x:c>
      <x:c r="H12" s="18" t="str">
        <x:v>IDENTIFIED</x:v>
      </x:c>
      <x:c r="I12" s="18" t="str">
        <x:v>HIGH</x:v>
      </x:c>
      <x:c r="J12" s="18" t="str">
        <x:v>Cipher, JWE/JWSID, HSM</x:v>
      </x:c>
    </x:row>
    <x:row r="13">
      <x:c r="A13" s="18" t="str">
        <x:v>AAI-SRC-0012</x:v>
      </x:c>
      <x:c r="B13" s="18" t="str">
        <x:v>Gravity Plus / Exadata</x:v>
      </x:c>
      <x:c r="C13" s="18" t="str">
        <x:v>Chat</x:v>
      </x:c>
      <x:c r="D13" s="18" t="str">
        <x:v>Banking</x:v>
      </x:c>
      <x:c r="E13" s="18" t="str">
        <x:v>Medium</x:v>
      </x:c>
      <x:c r="F13" s="18" t="str"/>
      <x:c r="G13" s="18" t="str">
        <x:v>Project context</x:v>
      </x:c>
      <x:c r="H13" s="18" t="str">
        <x:v>IDENTIFIED</x:v>
      </x:c>
      <x:c r="I13" s="18" t="str">
        <x:v>HIGH</x:v>
      </x:c>
      <x:c r="J13" s="18" t="str">
        <x:v>Paginación, cursor, PCI</x:v>
      </x:c>
    </x:row>
    <x:row r="14">
      <x:c r="A14" s="18" t="str">
        <x:v>AAI-SRC-0013</x:v>
      </x:c>
      <x:c r="B14" s="18" t="str">
        <x:v>ChatGPT conversations.json</x:v>
      </x:c>
      <x:c r="C14" s="18" t="str">
        <x:v>Export</x:v>
      </x:c>
      <x:c r="D14" s="18" t="str">
        <x:v>Corpus</x:v>
      </x:c>
      <x:c r="E14" s="18" t="str">
        <x:v>Critical</x:v>
      </x:c>
      <x:c r="F14" s="18" t="str"/>
      <x:c r="G14" s="18" t="str">
        <x:v>Not available</x:v>
      </x:c>
      <x:c r="H14" s="18" t="str">
        <x:v>PENDING</x:v>
      </x:c>
      <x:c r="I14" s="18" t="str">
        <x:v>UNKNOWN</x:v>
      </x:c>
      <x:c r="J14" s="18" t="str">
        <x:v>Necesario para extracción exhaustiva</x:v>
      </x:c>
    </x:row>
    <x:row r="15">
      <x:c r="A15" s="18" t="str">
        <x:v>AAI-SRC-0014</x:v>
      </x:c>
      <x:c r="B15" s="18" t="str">
        <x:v>Happy / Markdown.md pegado — Prompt 00 consolidado</x:v>
      </x:c>
      <x:c r="C15" s="18" t="str">
        <x:v>Writing block</x:v>
      </x:c>
      <x:c r="D15" s="18" t="str">
        <x:v>Architecture AI</x:v>
      </x:c>
      <x:c r="E15" s="18" t="str">
        <x:v>Critical</x:v>
      </x:c>
      <x:c r="F15" s="18" t="str">
        <x:v>2026-08-27</x:v>
      </x:c>
      <x:c r="G15" s="18" t="str">
        <x:v>Library</x:v>
      </x:c>
      <x:c r="H15" s="18" t="str">
        <x:v>EXTRACTED</x:v>
      </x:c>
      <x:c r="I15" s="18" t="str">
        <x:v>HIGH</x:v>
      </x:c>
      <x:c r="J15" s="18" t="str">
        <x:v>Fuente primaria completa; 2,510 líneas materializadas</x:v>
      </x:c>
    </x:row>
    <x:row r="16">
      <x:c r="A16" s="18" t="str">
        <x:v>AAI-SRC-0015</x:v>
      </x:c>
      <x:c r="B16" s="18" t="str">
        <x:v>Model Context Protocol Specification 2026-07-28</x:v>
      </x:c>
      <x:c r="C16" s="18" t="str">
        <x:v>Official specification</x:v>
      </x:c>
      <x:c r="D16" s="18" t="str">
        <x:v>MCP</x:v>
      </x:c>
      <x:c r="E16" s="18" t="str">
        <x:v>High</x:v>
      </x:c>
      <x:c r="F16" s="18" t="str">
        <x:v>2026-07-28</x:v>
      </x:c>
      <x:c r="G16" s="18" t="str">
        <x:v>Public official</x:v>
      </x:c>
      <x:c r="H16" s="18" t="str">
        <x:v>VALIDATED</x:v>
      </x:c>
      <x:c r="I16" s="18" t="str">
        <x:v>HIGH</x:v>
      </x:c>
      <x:c r="J16" s="18" t="str">
        <x:v>Protocol/version/schema reference; adoption mapping</x:v>
      </x:c>
    </x:row>
    <x:row r="17">
      <x:c r="A17" s="18" t="str">
        <x:v>AAI-SRC-0016</x:v>
      </x:c>
      <x:c r="B17" s="18" t="str">
        <x:v>MCP Security Best Practices and Authorization</x:v>
      </x:c>
      <x:c r="C17" s="18" t="str">
        <x:v>Official documentation</x:v>
      </x:c>
      <x:c r="D17" s="18" t="str">
        <x:v>Security/MCP</x:v>
      </x:c>
      <x:c r="E17" s="18" t="str">
        <x:v>Critical</x:v>
      </x:c>
      <x:c r="F17" s="18" t="str">
        <x:v>2026-07-28</x:v>
      </x:c>
      <x:c r="G17" s="18" t="str">
        <x:v>Public official</x:v>
      </x:c>
      <x:c r="H17" s="18" t="str">
        <x:v>VALIDATED</x:v>
      </x:c>
      <x:c r="I17" s="18" t="str">
        <x:v>HIGH</x:v>
      </x:c>
      <x:c r="J17" s="18" t="str">
        <x:v>OAuth 2.1 HTTP; confused deputy, passthrough, SSRF and state risks</x:v>
      </x:c>
    </x:row>
    <x:row r="18">
      <x:c r="A18" s="18" t="str">
        <x:v>AAI-SRC-0017</x:v>
      </x:c>
      <x:c r="B18" s="18" t="str">
        <x:v>Spring AI MCP Reference</x:v>
      </x:c>
      <x:c r="C18" s="18" t="str">
        <x:v>Official documentation</x:v>
      </x:c>
      <x:c r="D18" s="18" t="str">
        <x:v>Engineering</x:v>
      </x:c>
      <x:c r="E18" s="18" t="str">
        <x:v>High</x:v>
      </x:c>
      <x:c r="F18" s="18" t="str">
        <x:v>2026-09-02</x:v>
      </x:c>
      <x:c r="G18" s="18" t="str">
        <x:v>Public official</x:v>
      </x:c>
      <x:c r="H18" s="18" t="str">
        <x:v>VALIDATED</x:v>
      </x:c>
      <x:c r="I18" s="18" t="str">
        <x:v>HIGH</x:v>
      </x:c>
      <x:c r="J18" s="18" t="str">
        <x:v>MCP Java implementation candidate; security WIP</x:v>
      </x:c>
    </x:row>
    <x:row r="19">
      <x:c r="A19" s="18" t="str">
        <x:v>AAI-SRC-0018</x:v>
      </x:c>
      <x:c r="B19" s="18" t="str">
        <x:v>Spring Modulith Reference</x:v>
      </x:c>
      <x:c r="C19" s="18" t="str">
        <x:v>Official documentation</x:v>
      </x:c>
      <x:c r="D19" s="18" t="str">
        <x:v>Engineering</x:v>
      </x:c>
      <x:c r="E19" s="18" t="str">
        <x:v>Medium</x:v>
      </x:c>
      <x:c r="F19" s="18" t="str">
        <x:v>2026-09-02</x:v>
      </x:c>
      <x:c r="G19" s="18" t="str">
        <x:v>Public official</x:v>
      </x:c>
      <x:c r="H19" s="18" t="str">
        <x:v>VALIDATED</x:v>
      </x:c>
      <x:c r="I19" s="18" t="str">
        <x:v>HIGH</x:v>
      </x:c>
      <x:c r="J19" s="18" t="str">
        <x:v>Candidate spike for modular boundaries/events/tests</x:v>
      </x:c>
    </x:row>
    <x:row r="20">
      <x:c r="A20" s="18" t="str">
        <x:v>AAI-SRC-0019</x:v>
      </x:c>
      <x:c r="B20" s="18" t="str">
        <x:v>OWASP Top 10 for Agentic Applications 2026</x:v>
      </x:c>
      <x:c r="C20" s="18" t="str">
        <x:v>Official project</x:v>
      </x:c>
      <x:c r="D20" s="18" t="str">
        <x:v>Security</x:v>
      </x:c>
      <x:c r="E20" s="18" t="str">
        <x:v>Critical</x:v>
      </x:c>
      <x:c r="F20" s="18" t="str">
        <x:v>2026</x:v>
      </x:c>
      <x:c r="G20" s="18" t="str">
        <x:v>Public official</x:v>
      </x:c>
      <x:c r="H20" s="18" t="str">
        <x:v>VALIDATED</x:v>
      </x:c>
      <x:c r="I20" s="18" t="str">
        <x:v>HIGH</x:v>
      </x:c>
      <x:c r="J20" s="18" t="str">
        <x:v>Threat coverage reference, not corporate policy</x:v>
      </x:c>
    </x:row>
    <x:row r="21">
      <x:c r="A21" s="18" t="str">
        <x:v>AAI-SRC-0020</x:v>
      </x:c>
      <x:c r="B21" s="18" t="str">
        <x:v>Neo4j and JanusGraph official documentation</x:v>
      </x:c>
      <x:c r="C21" s="18" t="str">
        <x:v>Official documentation</x:v>
      </x:c>
      <x:c r="D21" s="18" t="str">
        <x:v>Graph/Data</x:v>
      </x:c>
      <x:c r="E21" s="18" t="str">
        <x:v>Critical</x:v>
      </x:c>
      <x:c r="F21" s="18" t="str">
        <x:v>2026-09-02</x:v>
      </x:c>
      <x:c r="G21" s="18" t="str">
        <x:v>Public official</x:v>
      </x:c>
      <x:c r="H21" s="18" t="str">
        <x:v>VALIDATED</x:v>
      </x:c>
      <x:c r="I21" s="18" t="str">
        <x:v>HIGH</x:v>
      </x:c>
      <x:c r="J21" s="18" t="str">
        <x:v>Embedded/runtime/licensing/operations and baseline comparison</x:v>
      </x:c>
    </x:row>
    <x:row r="22">
      <x:c r="A22" s="18" t="str">
        <x:v>AAI-SRC-0021</x:v>
      </x:c>
      <x:c r="B22" s="18" t="str">
        <x:v>NIST SP 800-207 and SSDF SP 800-218</x:v>
      </x:c>
      <x:c r="C22" s="18" t="str">
        <x:v>Official standards</x:v>
      </x:c>
      <x:c r="D22" s="18" t="str">
        <x:v>Security/SDLC</x:v>
      </x:c>
      <x:c r="E22" s="18" t="str">
        <x:v>Critical</x:v>
      </x:c>
      <x:c r="F22" s="18" t="str">
        <x:v>2020/2022</x:v>
      </x:c>
      <x:c r="G22" s="18" t="str">
        <x:v>Public official</x:v>
      </x:c>
      <x:c r="H22" s="18" t="str">
        <x:v>VALIDATED</x:v>
      </x:c>
      <x:c r="I22" s="18" t="str">
        <x:v>HIGH</x:v>
      </x:c>
      <x:c r="J22" s="18" t="str">
        <x:v>Zero trust and secure software reference</x:v>
      </x:c>
    </x:row>
    <x:row r="23">
      <x:c r="A23" s="18" t="str">
        <x:v>AAI-SRC-0022</x:v>
      </x:c>
      <x:c r="B23" s="18" t="str">
        <x:v>OWASP ASVS and API Security</x:v>
      </x:c>
      <x:c r="C23" s="18" t="str">
        <x:v>Official project</x:v>
      </x:c>
      <x:c r="D23" s="18" t="str">
        <x:v>Security/API</x:v>
      </x:c>
      <x:c r="E23" s="18" t="str">
        <x:v>High</x:v>
      </x:c>
      <x:c r="F23" s="18" t="str">
        <x:v>2026-09-02</x:v>
      </x:c>
      <x:c r="G23" s="18" t="str">
        <x:v>Public official</x:v>
      </x:c>
      <x:c r="H23" s="18" t="str">
        <x:v>VALIDATED</x:v>
      </x:c>
      <x:c r="I23" s="18" t="str">
        <x:v>HIGH</x:v>
      </x:c>
      <x:c r="J23" s="18" t="str">
        <x:v>Verification/control reference</x:v>
      </x:c>
    </x:row>
    <x:row r="24">
      <x:c r="A24" s="18" t="str">
        <x:v>AAI-SRC-0023</x:v>
      </x:c>
      <x:c r="B24" s="18" t="str">
        <x:v>NIST AI RMF and ISO AI management/risk standards</x:v>
      </x:c>
      <x:c r="C24" s="18" t="str">
        <x:v>Official standards</x:v>
      </x:c>
      <x:c r="D24" s="18" t="str">
        <x:v>AI Governance</x:v>
      </x:c>
      <x:c r="E24" s="18" t="str">
        <x:v>High</x:v>
      </x:c>
      <x:c r="F24" s="18" t="str">
        <x:v>2023-2026</x:v>
      </x:c>
      <x:c r="G24" s="18" t="str">
        <x:v>Public official</x:v>
      </x:c>
      <x:c r="H24" s="18" t="str">
        <x:v>VALIDATED</x:v>
      </x:c>
      <x:c r="I24" s="18" t="str">
        <x:v>HIGH</x:v>
      </x:c>
      <x:c r="J24" s="18" t="str">
        <x:v>Candidate governance mapping; not adopted automatically</x:v>
      </x:c>
    </x:row>
    <x:row r="25">
      <x:c r="A25" s="18" t="str">
        <x:v>AAI-SRC-0024</x:v>
      </x:c>
      <x:c r="B25" s="18" t="str">
        <x:v>W3C PROV-DM and PROV-O</x:v>
      </x:c>
      <x:c r="C25" s="18" t="str">
        <x:v>Official standard</x:v>
      </x:c>
      <x:c r="D25" s="18" t="str">
        <x:v>Knowledge/Provenance</x:v>
      </x:c>
      <x:c r="E25" s="18" t="str">
        <x:v>High</x:v>
      </x:c>
      <x:c r="F25" s="18" t="str">
        <x:v>2013</x:v>
      </x:c>
      <x:c r="G25" s="18" t="str">
        <x:v>Public official</x:v>
      </x:c>
      <x:c r="H25" s="18" t="str">
        <x:v>VALIDATED</x:v>
      </x:c>
      <x:c r="I25" s="18" t="str">
        <x:v>HIGH</x:v>
      </x:c>
      <x:c r="J25" s="18" t="str">
        <x:v>Conceptual provenance model</x:v>
      </x:c>
    </x:row>
    <x:row r="26">
      <x:c r="A26" s="18" t="str">
        <x:v>AAI-SRC-0025</x:v>
      </x:c>
      <x:c r="B26" s="18" t="str">
        <x:v>OpenAPI 3.2.0 and JSON Schema 2020-12</x:v>
      </x:c>
      <x:c r="C26" s="18" t="str">
        <x:v>Official specifications</x:v>
      </x:c>
      <x:c r="D26" s="18" t="str">
        <x:v>API/Contracts</x:v>
      </x:c>
      <x:c r="E26" s="18" t="str">
        <x:v>High</x:v>
      </x:c>
      <x:c r="F26" s="18" t="str">
        <x:v>2025/2026</x:v>
      </x:c>
      <x:c r="G26" s="18" t="str">
        <x:v>Public official</x:v>
      </x:c>
      <x:c r="H26" s="18" t="str">
        <x:v>VALIDATED</x:v>
      </x:c>
      <x:c r="I26" s="18" t="str">
        <x:v>HIGH</x:v>
      </x:c>
      <x:c r="J26" s="18" t="str">
        <x:v>Contract candidates subject to tool compatibility</x:v>
      </x:c>
    </x:row>
    <x:row r="27">
      <x:c r="A27" s="18" t="str">
        <x:v>AAI-SRC-0026</x:v>
      </x:c>
      <x:c r="B27" s="18" t="str">
        <x:v>ArchiMate 4 and BIAN Service Landscape 14.0</x:v>
      </x:c>
      <x:c r="C27" s="18" t="str">
        <x:v>Official references</x:v>
      </x:c>
      <x:c r="D27" s="18" t="str">
        <x:v>Architecture/Banking</x:v>
      </x:c>
      <x:c r="E27" s="18" t="str">
        <x:v>High</x:v>
      </x:c>
      <x:c r="F27" s="18" t="str">
        <x:v>2026</x:v>
      </x:c>
      <x:c r="G27" s="18" t="str">
        <x:v>Public official</x:v>
      </x:c>
      <x:c r="H27" s="18" t="str">
        <x:v>VALIDATED</x:v>
      </x:c>
      <x:c r="I27" s="18" t="str">
        <x:v>HIGH</x:v>
      </x:c>
      <x:c r="J27" s="18" t="str">
        <x:v>Taxonomy/viewpoint references, not institutional truth</x:v>
      </x:c>
    </x:row>
    <x:row r="28">
      <x:c r="A28" s="18" t="str">
        <x:v>AAI-SRC-0027</x:v>
      </x:c>
      <x:c r="B28" s="18" t="str">
        <x:v>A2A Protocol 1.0</x:v>
      </x:c>
      <x:c r="C28" s="18" t="str">
        <x:v>Official specification</x:v>
      </x:c>
      <x:c r="D28" s="18" t="str">
        <x:v>Agents</x:v>
      </x:c>
      <x:c r="E28" s="18" t="str">
        <x:v>Low</x:v>
      </x:c>
      <x:c r="F28" s="18" t="str">
        <x:v>2026-03</x:v>
      </x:c>
      <x:c r="G28" s="18" t="str">
        <x:v>Public official</x:v>
      </x:c>
      <x:c r="H28" s="18" t="str">
        <x:v>VALIDATED</x:v>
      </x:c>
      <x:c r="I28" s="18" t="str">
        <x:v>HIGH</x:v>
      </x:c>
      <x:c r="J28" s="18" t="str">
        <x:v>Deferred while Devin orchestration + MCP suffice</x:v>
      </x:c>
    </x:row>
    <x:row r="29">
      <x:c r="A29" s="18" t="str">
        <x:v>AAI-SRC-0028</x:v>
      </x:c>
      <x:c r="B29" s="18" t="str">
        <x:v>PCI DSS 4.0.1</x:v>
      </x:c>
      <x:c r="C29" s="18" t="str">
        <x:v>Official standard</x:v>
      </x:c>
      <x:c r="D29" s="18" t="str">
        <x:v>PCI</x:v>
      </x:c>
      <x:c r="E29" s="18" t="str">
        <x:v>Critical</x:v>
      </x:c>
      <x:c r="F29" s="18" t="str">
        <x:v>2024</x:v>
      </x:c>
      <x:c r="G29" s="18" t="str">
        <x:v>Public official</x:v>
      </x:c>
      <x:c r="H29" s="18" t="str">
        <x:v>VALIDATED</x:v>
      </x:c>
      <x:c r="I29" s="18" t="str">
        <x:v>HIGH</x:v>
      </x:c>
      <x:c r="J29" s="18" t="str">
        <x:v>Applicable reference; institutional scope required</x:v>
      </x:c>
    </x:row>
    <x:row r="30">
      <x:c r="A30" s="18" t="str">
        <x:v>AAI-SRC-0029</x:v>
      </x:c>
      <x:c r="B30" s="18" t="str">
        <x:v>Architecture AI Wave 2 authored drafts</x:v>
      </x:c>
      <x:c r="C30" s="18" t="str">
        <x:v>Work artifact</x:v>
      </x:c>
      <x:c r="D30" s="18" t="str">
        <x:v>Architecture/Knowledge/Security</x:v>
      </x:c>
      <x:c r="E30" s="18" t="str">
        <x:v>High</x:v>
      </x:c>
      <x:c r="F30" s="18" t="str">
        <x:v>2026-09-02</x:v>
      </x:c>
      <x:c r="G30" s="18" t="str">
        <x:v>Workspace</x:v>
      </x:c>
      <x:c r="H30" s="18" t="str">
        <x:v>EXTRACTED</x:v>
      </x:c>
      <x:c r="I30" s="18" t="str">
        <x:v>MEDIUM</x:v>
      </x:c>
      <x:c r="J30" s="18" t="str">
        <x:v>Design output; proposals clearly labelled</x:v>
      </x:c>
    </x:row>
    <x:row r="31">
      <x:c r="A31" s="18" t="str">
        <x:v>AAI-SRC-0030</x:v>
      </x:c>
      <x:c r="B31" s="18" t="str">
        <x:v>Project conversation extracts — banking and agents</x:v>
      </x:c>
      <x:c r="C31" s="18" t="str">
        <x:v>Project context</x:v>
      </x:c>
      <x:c r="D31" s="18" t="str">
        <x:v>Happy corpus</x:v>
      </x:c>
      <x:c r="E31" s="18" t="str">
        <x:v>Critical</x:v>
      </x:c>
      <x:c r="F31" s="18" t="str">
        <x:v>2026-09-02</x:v>
      </x:c>
      <x:c r="G31" s="18" t="str">
        <x:v>Project context</x:v>
      </x:c>
      <x:c r="H31" s="18" t="str">
        <x:v>PARTIAL</x:v>
      </x:c>
      <x:c r="I31" s="18" t="str">
        <x:v>MEDIUM</x:v>
      </x:c>
      <x:c r="J31" s="18" t="str">
        <x:v>Accessible extracts, not raw export</x:v>
      </x:c>
    </x:row>
    <x:row r="32">
      <x:c r="A32" s="18" t="str">
        <x:v>AAI-SRC-0031</x:v>
      </x:c>
      <x:c r="B32" s="18" t="str">
        <x:v>Happy Knowledge snapshot HK-2026-09-02.1</x:v>
      </x:c>
      <x:c r="C32" s="18" t="str">
        <x:v>Work artifact</x:v>
      </x:c>
      <x:c r="D32" s="18" t="str">
        <x:v>Knowledge Compiler</x:v>
      </x:c>
      <x:c r="E32" s="18" t="str">
        <x:v>Critical</x:v>
      </x:c>
      <x:c r="F32" s="18" t="str">
        <x:v>2026-09-02</x:v>
      </x:c>
      <x:c r="G32" s="18" t="str">
        <x:v>Workspace</x:v>
      </x:c>
      <x:c r="H32" s="18" t="str">
        <x:v>EXTRACTED</x:v>
      </x:c>
      <x:c r="I32" s="18" t="str">
        <x:v>HIGH</x:v>
      </x:c>
      <x:c r="J32" s="18" t="str">
        <x:v>Canonical indexes and reconciliation</x:v>
      </x:c>
    </x:row>
    <x:row r="33">
      <x:c r="A33" s="18" t="str">
        <x:v>AAI-SRC-0032</x:v>
      </x:c>
      <x:c r="B33" s="18" t="str">
        <x:v>HAPPY Master Knowledge Compiler directive</x:v>
      </x:c>
      <x:c r="C33" s="18" t="str">
        <x:v>User directive</x:v>
      </x:c>
      <x:c r="D33" s="18" t="str">
        <x:v>Governance</x:v>
      </x:c>
      <x:c r="E33" s="18" t="str">
        <x:v>Critical</x:v>
      </x:c>
      <x:c r="F33" s="18" t="str">
        <x:v>2026-09-02</x:v>
      </x:c>
      <x:c r="G33" s="18" t="str">
        <x:v>Current conversation</x:v>
      </x:c>
      <x:c r="H33" s="18" t="str">
        <x:v>VALIDATED</x:v>
      </x:c>
      <x:c r="I33" s="18" t="str">
        <x:v>HIGH</x:v>
      </x:c>
      <x:c r="J33" s="18" t="str">
        <x:v>Governs this Work and handoff</x:v>
      </x:c>
    </x:row>
    <x:row r="34">
      <x:c r="A34" s="18" t="str">
        <x:v>AAI-SRC-0033</x:v>
      </x:c>
      <x:c r="B34" s="18" t="str">
        <x:v>Personal/project context recovery</x:v>
      </x:c>
      <x:c r="C34" s="18" t="str">
        <x:v>Context extract</x:v>
      </x:c>
      <x:c r="D34" s="18" t="str">
        <x:v>Corpus</x:v>
      </x:c>
      <x:c r="E34" s="18" t="str">
        <x:v>High</x:v>
      </x:c>
      <x:c r="F34" s="18" t="str">
        <x:v>2026-09-02</x:v>
      </x:c>
      <x:c r="G34" s="18" t="str">
        <x:v>Project context</x:v>
      </x:c>
      <x:c r="H34" s="18" t="str">
        <x:v>PARTIAL</x:v>
      </x:c>
      <x:c r="I34" s="18" t="str">
        <x:v>MEDIUM</x:v>
      </x:c>
      <x:c r="J34" s="18" t="str">
        <x:v>Used with observation qualifiers; raw conversations still missing</x:v>
      </x:c>
    </x:row>
    <x:row r="35" ht="42" customHeight="1">
      <x:c r="A35" s="19" t="str">
        <x:v>AAI-SRC-0034</x:v>
      </x:c>
      <x:c r="B35" s="19" t="str">
        <x:v>HAPPY — Alignment Before Oleada 3</x:v>
      </x:c>
      <x:c r="C35" s="19" t="str">
        <x:v>User directive</x:v>
      </x:c>
      <x:c r="D35" s="19" t="str">
        <x:v>Handoff/Governance</x:v>
      </x:c>
      <x:c r="E35" s="19" t="str">
        <x:v>Critical</x:v>
      </x:c>
      <x:c r="F35" s="19" t="str">
        <x:v>2026-09-02</x:v>
      </x:c>
      <x:c r="G35" s="19" t="str">
        <x:v>Current conversation</x:v>
      </x:c>
      <x:c r="H35" s="19" t="str">
        <x:v>VALIDATED</x:v>
      </x:c>
      <x:c r="I35" s="19" t="str">
        <x:v>HIGH</x:v>
      </x:c>
      <x:c r="J35" s="19" t="str">
        <x:v>Operational handoff, taxonomy, Sprint, Blueprint, autonomy, prompt and Graph gates</x:v>
      </x:c>
    </x:row>
    <x:row r="36" ht="42" customHeight="1">
      <x:c r="A36" s="19" t="str">
        <x:v>AAI-SRC-0035</x:v>
      </x:c>
      <x:c r="B36" s="19" t="str">
        <x:v>P-RESUME-00 — Continuación de ejecución previa</x:v>
      </x:c>
      <x:c r="C36" s="19" t="str">
        <x:v>Work prompt</x:v>
      </x:c>
      <x:c r="D36" s="19" t="str">
        <x:v>Continuity</x:v>
      </x:c>
      <x:c r="E36" s="19" t="str">
        <x:v>High</x:v>
      </x:c>
      <x:c r="F36" s="19" t="str">
        <x:v>2026-09-02</x:v>
      </x:c>
      <x:c r="G36" s="19" t="str">
        <x:v>Work history</x:v>
      </x:c>
      <x:c r="H36" s="19" t="str">
        <x:v>VALIDATED</x:v>
      </x:c>
      <x:c r="I36" s="19" t="str">
        <x:v>HIGH</x:v>
      </x:c>
      <x:c r="J36" s="19" t="str">
        <x:v>Explicitly preserves prior A–F and artifacts</x:v>
      </x:c>
    </x:row>
    <x:row r="37" ht="42" customHeight="1">
      <x:c r="A37" s="19" t="str">
        <x:v>AAI-SRC-0036</x:v>
      </x:c>
      <x:c r="B37" s="19" t="str">
        <x:v>Oleada 3 safe core formalization</x:v>
      </x:c>
      <x:c r="C37" s="19" t="str">
        <x:v>Work artifact</x:v>
      </x:c>
      <x:c r="D37" s="19" t="str">
        <x:v>Specifications/Contracts</x:v>
      </x:c>
      <x:c r="E37" s="19" t="str">
        <x:v>High</x:v>
      </x:c>
      <x:c r="F37" s="19" t="str">
        <x:v>2026-09-02</x:v>
      </x:c>
      <x:c r="G37" s="19" t="str">
        <x:v>Workspace</x:v>
      </x:c>
      <x:c r="H37" s="19" t="str">
        <x:v>EXTRACTED</x:v>
      </x:c>
      <x:c r="I37" s="19" t="str">
        <x:v>HIGH</x:v>
      </x:c>
      <x:c r="J37" s="19" t="str">
        <x:v>AAI-SPEC-0004..0008, 7 JSON Schemas and 5 editable diagrams</x:v>
      </x:c>
    </x:row>
    <x:row r="38" ht="44" customHeight="1">
      <x:c r="A38" s="19" t="str">
        <x:v>AAI-SRC-0037</x:v>
      </x:c>
      <x:c r="B38" s="19" t="str">
        <x:v>P-O3B-01 — Work Lifecycle + Bootstrap Skeleton</x:v>
      </x:c>
      <x:c r="C38" s="19" t="str">
        <x:v>Work prompt / user directive</x:v>
      </x:c>
      <x:c r="D38" s="19" t="str">
        <x:v>Lifecycle/Bootstrap</x:v>
      </x:c>
      <x:c r="E38" s="19" t="str">
        <x:v>Critical</x:v>
      </x:c>
      <x:c r="F38" s="19" t="str">
        <x:v>2026-09-02</x:v>
      </x:c>
      <x:c r="G38" s="19" t="str">
        <x:v>Current conversation</x:v>
      </x:c>
      <x:c r="H38" s="19" t="str">
        <x:v>VALIDATED</x:v>
      </x:c>
      <x:c r="I38" s="19" t="str">
        <x:v>HIGH</x:v>
      </x:c>
      <x:c r="J38" s="19" t="str">
        <x:v>Scope, exclusions, source conditions, deliverables and no-delivery rule</x:v>
      </x:c>
    </x:row>
    <x:row r="39" ht="44" customHeight="1">
      <x:c r="A39" s="19" t="str">
        <x:v>AAI-SRC-0038</x:v>
      </x:c>
      <x:c r="B39" s="19" t="str">
        <x:v>Oleada 3B formalization artifacts</x:v>
      </x:c>
      <x:c r="C39" s="19" t="str">
        <x:v>Work artifact</x:v>
      </x:c>
      <x:c r="D39" s="19" t="str">
        <x:v>Specifications/Contracts/Bootstrap</x:v>
      </x:c>
      <x:c r="E39" s="19" t="str">
        <x:v>High</x:v>
      </x:c>
      <x:c r="F39" s="19" t="str">
        <x:v>2026-09-02</x:v>
      </x:c>
      <x:c r="G39" s="19" t="str">
        <x:v>Workspace</x:v>
      </x:c>
      <x:c r="H39" s="19" t="str">
        <x:v>EXTRACTED</x:v>
      </x:c>
      <x:c r="I39" s="19" t="str">
        <x:v>HIGH</x:v>
      </x:c>
      <x:c r="J39" s="19" t="str">
        <x:v>AAI-SPEC-0009/0010, 7 schemas, 4 diagrams and 4 skeletons</x:v>
      </x:c>
    </x:row>
    <x:row r="40" ht="44" customHeight="1">
      <x:c r="A40" s="19" t="str">
        <x:v>AAI-SRC-0039</x:v>
      </x:c>
      <x:c r="B40" s="19" t="str">
        <x:v>P-WAVE-3C-01 — Seed V1 Architectural DNA</x:v>
      </x:c>
      <x:c r="C40" s="19" t="str">
        <x:v>Work prompt / user directive</x:v>
      </x:c>
      <x:c r="D40" s="19" t="str">
        <x:v>Seed/Architecture/Evolution</x:v>
      </x:c>
      <x:c r="E40" s="19" t="str">
        <x:v>Critical</x:v>
      </x:c>
      <x:c r="F40" s="19" t="str">
        <x:v>2026-09-02</x:v>
      </x:c>
      <x:c r="G40" s="19" t="str">
        <x:v>Current conversation</x:v>
      </x:c>
      <x:c r="H40" s="19" t="str">
        <x:v>VALIDATED</x:v>
      </x:c>
      <x:c r="I40" s="19" t="str">
        <x:v>HIGH</x:v>
      </x:c>
      <x:c r="J40" s="19" t="str">
        <x:v>North Star, DNA, capabilities, operating/cutover/gates and execution boundary</x:v>
      </x:c>
    </x:row>
    <x:row r="41" ht="44" customHeight="1">
      <x:c r="A41" s="19" t="str">
        <x:v>AAI-SRC-0040</x:v>
      </x:c>
      <x:c r="B41" s="19" t="str">
        <x:v>Oleada 3C Seed documentary artifacts</x:v>
      </x:c>
      <x:c r="C41" s="19" t="str">
        <x:v>Work artifact</x:v>
      </x:c>
      <x:c r="D41" s="19" t="str">
        <x:v>Seed/Knowledge Compiler</x:v>
      </x:c>
      <x:c r="E41" s="19" t="str">
        <x:v>High</x:v>
      </x:c>
      <x:c r="F41" s="19" t="str">
        <x:v>2026-09-02</x:v>
      </x:c>
      <x:c r="G41" s="19" t="str">
        <x:v>Workspace</x:v>
      </x:c>
      <x:c r="H41" s="19" t="str">
        <x:v>EXTRACTED</x:v>
      </x:c>
      <x:c r="I41" s="19" t="str">
        <x:v>HIGH</x:v>
      </x:c>
      <x:c r="J41" s="19" t="str">
        <x:v>Docs 52–66, diagrams 0013–0018, bootstrap v0.2 and registers</x:v>
      </x:c>
    </x:row>
    <x:row r="42" ht="44" customHeight="1">
      <x:c r="A42" s="19" t="str">
        <x:v>AAI-SRC-0041</x:v>
      </x:c>
      <x:c r="B42" s="19" t="str">
        <x:v>GarciaLabastidaMiguelAngel/happy-bootstrap-staging</x:v>
      </x:c>
      <x:c r="C42" s="19" t="str">
        <x:v>User-stated repository identity</x:v>
      </x:c>
      <x:c r="D42" s="19" t="str">
        <x:v>Bootstrap Transport</x:v>
      </x:c>
      <x:c r="E42" s="19" t="str">
        <x:v>High</x:v>
      </x:c>
      <x:c r="F42" s="19" t="str">
        <x:v>2026-09-02</x:v>
      </x:c>
      <x:c r="G42" s="19" t="str">
        <x:v>User statement</x:v>
      </x:c>
      <x:c r="H42" s="19" t="str">
        <x:v>PARTIAL</x:v>
      </x:c>
      <x:c r="I42" s="19" t="str">
        <x:v>HIGH</x:v>
      </x:c>
      <x:c r="J42" s="19" t="str">
        <x:v>Role/visibility observed by statement; checkout/access/commit not observed; SER-013</x:v>
      </x:c>
    </x:row>
    <x:row r="43" ht="44" customHeight="1">
      <x:c r="A43" s="19" t="str">
        <x:v>AAI-SRC-0042</x:v>
      </x:c>
      <x:c r="B43" s="19" t="str">
        <x:v>P-WAVE-3D-01 — Seed assembly directive</x:v>
      </x:c>
      <x:c r="C43" s="19" t="str">
        <x:v>Work prompt / user directive</x:v>
      </x:c>
      <x:c r="D43" s="19" t="str">
        <x:v>Seed/Delivery</x:v>
      </x:c>
      <x:c r="E43" s="19" t="str">
        <x:v>Critical</x:v>
      </x:c>
      <x:c r="F43" s="19" t="str">
        <x:v>2026-09-02</x:v>
      </x:c>
      <x:c r="G43" s="19" t="str">
        <x:v>Current conversation</x:v>
      </x:c>
      <x:c r="H43" s="19" t="str">
        <x:v>VALIDATED</x:v>
      </x:c>
      <x:c r="I43" s="19" t="str">
        <x:v>HIGH</x:v>
      </x:c>
      <x:c r="J43" s="19" t="str">
        <x:v>Root, dedup, standards, fixtures, package and execution boundary</x:v>
      </x:c>
    </x:row>
    <x:row r="44" ht="44" customHeight="1">
      <x:c r="A44" s="19" t="str">
        <x:v>AAI-SRC-0043</x:v>
      </x:c>
      <x:c r="B44" s="19" t="str">
        <x:v>Oleada 3D assembled Seed assets</x:v>
      </x:c>
      <x:c r="C44" s="19" t="str">
        <x:v>Work artifact</x:v>
      </x:c>
      <x:c r="D44" s="19" t="str">
        <x:v>Seed/Knowledge Compiler</x:v>
      </x:c>
      <x:c r="E44" s="19" t="str">
        <x:v>High</x:v>
      </x:c>
      <x:c r="F44" s="19" t="str">
        <x:v>2026-09-02</x:v>
      </x:c>
      <x:c r="G44" s="19" t="str">
        <x:v>Workspace</x:v>
      </x:c>
      <x:c r="H44" s="19" t="str">
        <x:v>EXTRACTED</x:v>
      </x:c>
      <x:c r="I44" s="19" t="str">
        <x:v>HIGH</x:v>
      </x:c>
      <x:c r="J44" s="19" t="str">
        <x:v>Root 0.9.0-assembly.1, docs 67–78, schema, fixtures and package receipts</x:v>
      </x:c>
    </x:row>
    <x:row r="45" ht="44" customHeight="1">
      <x:c r="A45" s="19" t="str">
        <x:v>AAI-SRC-0044</x:v>
      </x:c>
      <x:c r="B45" s="19" t="str">
        <x:v>Official standards primary-source set</x:v>
      </x:c>
      <x:c r="C45" s="19" t="str">
        <x:v>External primary references</x:v>
      </x:c>
      <x:c r="D45" s="19" t="str">
        <x:v>Standards/Reuse</x:v>
      </x:c>
      <x:c r="E45" s="19" t="str">
        <x:v>High</x:v>
      </x:c>
      <x:c r="F45" s="19" t="str">
        <x:v>2026-09-02</x:v>
      </x:c>
      <x:c r="G45" s="19" t="str">
        <x:v>Official specifications</x:v>
      </x:c>
      <x:c r="H45" s="19" t="str">
        <x:v>RESEARCHED_NOT_ADOPTED</x:v>
      </x:c>
      <x:c r="I45" s="19" t="str">
        <x:v>HIGH</x:v>
      </x:c>
      <x:c r="J45" s="19" t="str">
        <x:v>CALM/MCP/OMG/JSON Schema/OpenAPI/AsyncAPI/OSCAL/OTel/OWASP/PROV/etc.; not institutional adoption</x:v>
      </x:c>
    </x:row>
    <x:row r="46" ht="44" customHeight="1">
      <x:c r="A46" s="19" t="str">
        <x:v>AAI-SRC-0045</x:v>
      </x:c>
      <x:c r="B46" s="19" t="str">
        <x:v>happy-bootstrap-staging repository metadata</x:v>
      </x:c>
      <x:c r="C46" s="19" t="str">
        <x:v>Git connector observation</x:v>
      </x:c>
      <x:c r="D46" s="19" t="str">
        <x:v>Bootstrap Transport</x:v>
      </x:c>
      <x:c r="E46" s="19" t="str">
        <x:v>High</x:v>
      </x:c>
      <x:c r="F46" s="19" t="str">
        <x:v>2026-09-02</x:v>
      </x:c>
      <x:c r="G46" s="19" t="str">
        <x:v>GitHub connector</x:v>
      </x:c>
      <x:c r="H46" s="19" t="str">
        <x:v>PARTIAL</x:v>
      </x:c>
      <x:c r="I46" s="19" t="str">
        <x:v>HIGH</x:v>
      </x:c>
      <x:c r="J46" s="19" t="str">
        <x:v>Public, empty, default main, admin/push observed; sync receipt handled separately</x:v>
      </x:c>
    </x:row>
    <x:row r="47" ht="48" customHeight="1">
      <x:c r="A47" s="19" t="str">
        <x:v>AAI-SRC-0046</x:v>
      </x:c>
      <x:c r="B47" s="19" t="str">
        <x:v>P-WAVE-3E-01 — Federated evolution and knowledge geometry directive</x:v>
      </x:c>
      <x:c r="C47" s="19" t="str">
        <x:v>Work prompt / user directive</x:v>
      </x:c>
      <x:c r="D47" s="19" t="str">
        <x:v>Seed/Evolution</x:v>
      </x:c>
      <x:c r="E47" s="19" t="str">
        <x:v>Critical</x:v>
      </x:c>
      <x:c r="F47" s="19" t="str">
        <x:v>2026-09-03</x:v>
      </x:c>
      <x:c r="G47" s="19" t="str">
        <x:v>Current conversation</x:v>
      </x:c>
      <x:c r="H47" s="19" t="str">
        <x:v>VALIDATED</x:v>
      </x:c>
      <x:c r="I47" s="19" t="str">
        <x:v>HIGH</x:v>
      </x:c>
      <x:c r="J47" s="19" t="str">
        <x:v>Authority, domain introspection, deterministic maturity, knowledge geometry and expansion boundary</x:v>
      </x:c>
    </x:row>
    <x:row r="48" ht="48" customHeight="1">
      <x:c r="A48" s="19" t="str">
        <x:v>AAI-SRC-0047</x:v>
      </x:c>
      <x:c r="B48" s="19" t="str">
        <x:v>Oleada 3E reconciled Seed assets</x:v>
      </x:c>
      <x:c r="C48" s="19" t="str">
        <x:v>Work artifact</x:v>
      </x:c>
      <x:c r="D48" s="19" t="str">
        <x:v>Seed/Knowledge Compiler</x:v>
      </x:c>
      <x:c r="E48" s="19" t="str">
        <x:v>High</x:v>
      </x:c>
      <x:c r="F48" s="19" t="str">
        <x:v>2026-09-03</x:v>
      </x:c>
      <x:c r="G48" s="19" t="str">
        <x:v>Workspace</x:v>
      </x:c>
      <x:c r="H48" s="19" t="str">
        <x:v>EXTRACTED</x:v>
      </x:c>
      <x:c r="I48" s="19" t="str">
        <x:v>HIGH</x:v>
      </x:c>
      <x:c r="J48" s="19" t="str">
        <x:v>Docs 79–85, diagrams 0019/0020, root expansion view and updated canonical registers</x:v>
      </x:c>
    </x:row>
    <x:row r="49" ht="48" customHeight="1">
      <x:c r="A49" s="19" t="str">
        <x:v>AAI-SRC-0048</x:v>
      </x:c>
      <x:c r="B49" s="19" t="str">
        <x:v>Prior Happy source synthesis for authority/deterministic/evidence models</x:v>
      </x:c>
      <x:c r="C49" s="19" t="str">
        <x:v>Project corpus</x:v>
      </x:c>
      <x:c r="D49" s="19" t="str">
        <x:v>Architecture/Governance</x:v>
      </x:c>
      <x:c r="E49" s="19" t="str">
        <x:v>High</x:v>
      </x:c>
      <x:c r="F49" s="19" t="str">
        <x:v>2026-09-03</x:v>
      </x:c>
      <x:c r="G49" s="19" t="str">
        <x:v>Existing decisions/specs/docs</x:v>
      </x:c>
      <x:c r="H49" s="19" t="str">
        <x:v>RECONCILED</x:v>
      </x:c>
      <x:c r="I49" s="19" t="str">
        <x:v>HIGH</x:v>
      </x:c>
      <x:c r="J49" s="19" t="str">
        <x:v>FD-001/005/006, 0004/0007/0024, organization/role/claim/evidence concepts</x:v>
      </x:c>
    </x:row>
    <x:row r="50" ht="48" customHeight="1">
      <x:c r="A50" s="19" t="str">
        <x:v>AAI-SRC-0049</x:v>
      </x:c>
      <x:c r="B50" s="19" t="str">
        <x:v>JavaFizz / SpecFizz terminology mention</x:v>
      </x:c>
      <x:c r="C50" s="19" t="str">
        <x:v>User terminology reference</x:v>
      </x:c>
      <x:c r="D50" s="19" t="str">
        <x:v>Java/Specification</x:v>
      </x:c>
      <x:c r="E50" s="19" t="str">
        <x:v>Medium</x:v>
      </x:c>
      <x:c r="F50" s="19" t="str">
        <x:v>2026-09-03</x:v>
      </x:c>
      <x:c r="G50" s="19" t="str">
        <x:v>P-WAVE-3E-01</x:v>
      </x:c>
      <x:c r="H50" s="19" t="str">
        <x:v>NOT_OBSERVED_DEFINITION</x:v>
      </x:c>
      <x:c r="I50" s="19" t="str">
        <x:v>HIGH</x:v>
      </x:c>
      <x:c r="J50" s="19" t="str">
        <x:v>Term preserved as source gap; no semantics invented</x:v>
      </x:c>
    </x:row>
    <x:row r="51" ht="50" customHeight="1">
      <x:c r="A51" s="19" t="str">
        <x:v>AAI-SRC-0050</x:v>
      </x:c>
      <x:c r="B51" s="19" t="str">
        <x:v>P-SEED-ACCEPT-01 — Seed Acceptance Preparation directive</x:v>
      </x:c>
      <x:c r="C51" s="19" t="str">
        <x:v>Work prompt / user directive</x:v>
      </x:c>
      <x:c r="D51" s="19" t="str">
        <x:v>Acceptance/Reconciliation</x:v>
      </x:c>
      <x:c r="E51" s="19" t="str">
        <x:v>Critical</x:v>
      </x:c>
      <x:c r="F51" s="19" t="str">
        <x:v>2026-09-03</x:v>
      </x:c>
      <x:c r="G51" s="19" t="str">
        <x:v>Current conversation</x:v>
      </x:c>
      <x:c r="H51" s="19" t="str">
        <x:v>VALIDATED</x:v>
      </x:c>
      <x:c r="I51" s="19" t="str">
        <x:v>HIGH</x:v>
      </x:c>
      <x:c r="J51" s="19" t="str">
        <x:v>Self-Model, deterministic assurance, milestones, frontier, source order and gates</x:v>
      </x:c>
    </x:row>
    <x:row r="52" ht="50" customHeight="1">
      <x:c r="A52" s="19" t="str">
        <x:v>AAI-SRC-0051</x:v>
      </x:c>
      <x:c r="B52" s="19" t="str">
        <x:v>Seed Acceptance reconciled assets</x:v>
      </x:c>
      <x:c r="C52" s="19" t="str">
        <x:v>Work artifact</x:v>
      </x:c>
      <x:c r="D52" s="19" t="str">
        <x:v>Seed/Acceptance</x:v>
      </x:c>
      <x:c r="E52" s="19" t="str">
        <x:v>High</x:v>
      </x:c>
      <x:c r="F52" s="19" t="str">
        <x:v>2026-09-03</x:v>
      </x:c>
      <x:c r="G52" s="19" t="str">
        <x:v>Workspace</x:v>
      </x:c>
      <x:c r="H52" s="19" t="str">
        <x:v>EXTRACTED</x:v>
      </x:c>
      <x:c r="I52" s="19" t="str">
        <x:v>HIGH</x:v>
      </x:c>
      <x:c r="J52" s="19" t="str">
        <x:v>Minimal extensions, FX-L..P, EXP-ACCEPT-001..003, ACCEPTANCE and status</x:v>
      </x:c>
    </x:row>
    <x:row r="53" ht="50" customHeight="1">
      <x:c r="A53" s="19" t="str">
        <x:v>AAI-SRC-0052</x:v>
      </x:c>
      <x:c r="B53" s="19" t="str">
        <x:v>Acceptance-prep local package validation receipt</x:v>
      </x:c>
      <x:c r="C53" s="19" t="str">
        <x:v>Work validation</x:v>
      </x:c>
      <x:c r="D53" s="19" t="str">
        <x:v>Package/Integrity</x:v>
      </x:c>
      <x:c r="E53" s="19" t="str">
        <x:v>High</x:v>
      </x:c>
      <x:c r="F53" s="19" t="str">
        <x:v>2026-09-03</x:v>
      </x:c>
      <x:c r="G53" s="19" t="str">
        <x:v>Workspace validator/ZIP/hash</x:v>
      </x:c>
      <x:c r="H53" s="19" t="str">
        <x:v>VALIDATED_LOCAL</x:v>
      </x:c>
      <x:c r="I53" s="19" t="str">
        <x:v>HIGH</x:v>
      </x:c>
      <x:c r="J53" s="19" t="str">
        <x:v>Static/package evidence only; not bootstrap/runtime acceptance</x:v>
      </x:c>
    </x:row>
    <x:row r="54" ht="50" customHeight="1">
      <x:c r="A54" s="19" t="str">
        <x:v>AAI-SRC-0053</x:v>
      </x:c>
      <x:c r="B54" s="19" t="str">
        <x:v>P-SEED-ACCEPT-01-RESUME-01 directive and reconciled delta</x:v>
      </x:c>
      <x:c r="C54" s="19" t="str">
        <x:v>Work prompt / artifact</x:v>
      </x:c>
      <x:c r="D54" s="19" t="str">
        <x:v>Acceptance/Adoption</x:v>
      </x:c>
      <x:c r="E54" s="19" t="str">
        <x:v>Critical</x:v>
      </x:c>
      <x:c r="F54" s="19" t="str">
        <x:v>2026-09-03</x:v>
      </x:c>
      <x:c r="G54" s="19" t="str">
        <x:v>Current conversation/workspace</x:v>
      </x:c>
      <x:c r="H54" s="19" t="str">
        <x:v>VALIDATED</x:v>
      </x:c>
      <x:c r="I54" s="19" t="str">
        <x:v>HIGH</x:v>
      </x:c>
      <x:c r="J54" s="19" t="str">
        <x:v>Access/authority/readiness, environment/ALM, cross-environment, multi-architect and adoption refinements</x:v>
      </x:c>
    </x:row>
    <x:row r="55" ht="50" customHeight="1">
      <x:c r="A55" s="19" t="str">
        <x:v>AAI-SRC-0054</x:v>
      </x:c>
      <x:c r="B55" s="19" t="str">
        <x:v>P-SEED-CLOSE-01 — Final Seed Closure directive</x:v>
      </x:c>
      <x:c r="C55" s="19" t="str">
        <x:v>Work prompt / user directive</x:v>
      </x:c>
      <x:c r="D55" s="19" t="str">
        <x:v>Closure/Handoff</x:v>
      </x:c>
      <x:c r="E55" s="19" t="str">
        <x:v>Critical</x:v>
      </x:c>
      <x:c r="F55" s="19" t="str">
        <x:v>2026-09-03</x:v>
      </x:c>
      <x:c r="G55" s="19" t="str">
        <x:v>Current conversation</x:v>
      </x:c>
      <x:c r="H55" s="19" t="str">
        <x:v>VALIDATED</x:v>
      </x:c>
      <x:c r="I55" s="19" t="str">
        <x:v>HIGH</x:v>
      </x:c>
      <x:c r="J55" s="19" t="str">
        <x:v>Separates handoff readiness from build readiness and closes Work compilation</x:v>
      </x:c>
    </x:row>
    <x:row r="56" ht="50" customHeight="1">
      <x:c r="A56" s="19" t="str">
        <x:v>AAI-SRC-0055</x:v>
      </x:c>
      <x:c r="B56" s="19" t="str">
        <x:v>Seed 1.0.0-rc1 local validation receipt</x:v>
      </x:c>
      <x:c r="C56" s="19" t="str">
        <x:v>Work validation</x:v>
      </x:c>
      <x:c r="D56" s="19" t="str">
        <x:v>Package/Integrity</x:v>
      </x:c>
      <x:c r="E56" s="19" t="str">
        <x:v>High</x:v>
      </x:c>
      <x:c r="F56" s="19" t="str">
        <x:v>2026-09-03</x:v>
      </x:c>
      <x:c r="G56" s="19" t="str">
        <x:v>Workspace validator/ZIP/hash</x:v>
      </x:c>
      <x:c r="H56" s="19" t="str">
        <x:v>VALIDATED_LOCAL</x:v>
      </x:c>
      <x:c r="I56" s="19" t="str">
        <x:v>HIGH</x:v>
      </x:c>
      <x:c r="J56" s="19" t="str">
        <x:v>Static/package evidence only; real-environment gates remain deferred</x:v>
      </x:c>
    </x:row>
  </x:sheetData>
  <x:dataValidations count="3">
    <x:dataValidation type="list" sqref="H2:H200">
      <x:formula1>"PENDING,IDENTIFIED,EXTRACTING,PARTIAL,EXTRACTED,VALIDATED"</x:formula1>
    </x:dataValidation>
    <x:dataValidation type="list" sqref="H2:H250">
      <x:formula1>"PENDING,IDENTIFIED,EXTRACTING,PARTIAL,EXTRACTED,VALIDATED"</x:formula1>
    </x:dataValidation>
    <x:dataValidation type="list" sqref="H2:H300">
      <x:formula1>"PENDING,IDENTIFIED,EXTRACTING,PARTIAL,EXTRACTED,VALIDATED"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62" hidden="0" customWidth="1"/>
    <x:col min="4" max="4" width="30" hidden="0" customWidth="1"/>
    <x:col min="5" max="5" width="24" hidden="0" customWidth="1"/>
    <x:col min="6" max="6" width="24" hidden="0" customWidth="1"/>
    <x:col min="7" max="7" width="34" hidden="0" customWidth="1"/>
    <x:col min="8" max="8" width="34" hidden="0" customWidth="1"/>
    <x:col min="9" max="9" width="40" hidden="0" customWidth="1"/>
  </x:cols>
  <x:sheetData>
    <x:row r="1">
      <x:c r="A1" s="5" t="str">
        <x:v>Evidence ID</x:v>
      </x:c>
      <x:c r="B1" s="5" t="str">
        <x:v>Source ID</x:v>
      </x:c>
      <x:c r="C1" s="5" t="str">
        <x:v>Statement</x:v>
      </x:c>
      <x:c r="D1" s="5" t="str">
        <x:v>Classification</x:v>
      </x:c>
      <x:c r="E1" s="5" t="str">
        <x:v>Confidence</x:v>
      </x:c>
      <x:c r="F1" s="5" t="str">
        <x:v>Validation</x:v>
      </x:c>
      <x:c r="G1" s="5" t="str">
        <x:v>Target documents</x:v>
      </x:c>
      <x:c r="H1" s="5" t="str">
        <x:v>Related decision</x:v>
      </x:c>
      <x:c r="I1" s="5" t="str">
        <x:v>Notes</x:v>
      </x:c>
    </x:row>
    <x:row r="2">
      <x:c r="A2" s="18" t="str">
        <x:v>AAI-EVD-0001</x:v>
      </x:c>
      <x:c r="B2" s="18" t="str">
        <x:v>AAI-SRC-0001</x:v>
      </x:c>
      <x:c r="C2" s="18" t="str">
        <x:v>Devin provides general intelligence; Architecture AI provides institutional intelligence</x:v>
      </x:c>
      <x:c r="D2" s="18" t="str">
        <x:v>FROZEN_DECISION</x:v>
      </x:c>
      <x:c r="E2" s="18" t="str">
        <x:v>HIGH</x:v>
      </x:c>
      <x:c r="F2" s="18" t="str">
        <x:v>CONFIRMED</x:v>
      </x:c>
      <x:c r="G2" s="18" t="str">
        <x:v>AAI-DOC-0101; AAI-DOC-0301</x:v>
      </x:c>
      <x:c r="H2" s="18" t="str">
        <x:v>AAI-DEC-0001</x:v>
      </x:c>
      <x:c r="I2" s="18" t="str"/>
    </x:row>
    <x:row r="3">
      <x:c r="A3" s="18" t="str">
        <x:v>AAI-EVD-0002</x:v>
      </x:c>
      <x:c r="B3" s="18" t="str">
        <x:v>AAI-SRC-0001</x:v>
      </x:c>
      <x:c r="C3" s="18" t="str">
        <x:v>Architecture AI is local-first before centralization in OpenShift</x:v>
      </x:c>
      <x:c r="D3" s="18" t="str">
        <x:v>FROZEN_DECISION</x:v>
      </x:c>
      <x:c r="E3" s="18" t="str">
        <x:v>HIGH</x:v>
      </x:c>
      <x:c r="F3" s="18" t="str">
        <x:v>CONFIRMED</x:v>
      </x:c>
      <x:c r="G3" s="18" t="str">
        <x:v>AAI-DOC-0302; AAI-DOC-0303</x:v>
      </x:c>
      <x:c r="H3" s="18" t="str">
        <x:v>AAI-DEC-0002</x:v>
      </x:c>
      <x:c r="I3" s="18" t="str"/>
    </x:row>
    <x:row r="4">
      <x:c r="A4" s="18" t="str">
        <x:v>AAI-EVD-0003</x:v>
      </x:c>
      <x:c r="B4" s="18" t="str">
        <x:v>AAI-SRC-0001</x:v>
      </x:c>
      <x:c r="C4" s="18" t="str">
        <x:v>Git is the canonical truth for approved institutional knowledge</x:v>
      </x:c>
      <x:c r="D4" s="18" t="str">
        <x:v>FROZEN_DECISION</x:v>
      </x:c>
      <x:c r="E4" s="18" t="str">
        <x:v>HIGH</x:v>
      </x:c>
      <x:c r="F4" s="18" t="str">
        <x:v>CONFIRMED</x:v>
      </x:c>
      <x:c r="G4" s="18" t="str">
        <x:v>AAI-DOC-0301; AAI-DOC-0501</x:v>
      </x:c>
      <x:c r="H4" s="18" t="str">
        <x:v>AAI-DEC-0003</x:v>
      </x:c>
      <x:c r="I4" s="18" t="str"/>
    </x:row>
    <x:row r="5">
      <x:c r="A5" s="18" t="str">
        <x:v>AAI-EVD-0004</x:v>
      </x:c>
      <x:c r="B5" s="18" t="str">
        <x:v>AAI-SRC-0008</x:v>
      </x:c>
      <x:c r="C5" s="18" t="str">
        <x:v>Baseline detected Java 8 while project requires Java 21</x:v>
      </x:c>
      <x:c r="D5" s="18" t="str">
        <x:v>CONFIRMED_FACT</x:v>
      </x:c>
      <x:c r="E5" s="18" t="str">
        <x:v>HIGH</x:v>
      </x:c>
      <x:c r="F5" s="18" t="str">
        <x:v>CONFIRMED</x:v>
      </x:c>
      <x:c r="G5" s="18" t="str">
        <x:v>AAI-DOC-0801; AAI-DOC-0802</x:v>
      </x:c>
      <x:c r="H5" s="18" t="str"/>
      <x:c r="I5" s="18" t="str">
        <x:v>Runtime verification needed</x:v>
      </x:c>
    </x:row>
    <x:row r="6">
      <x:c r="A6" s="18" t="str">
        <x:v>AAI-EVD-0005</x:v>
      </x:c>
      <x:c r="B6" s="18" t="str">
        <x:v>AAI-SRC-0008</x:v>
      </x:c>
      <x:c r="C6" s="18" t="str">
        <x:v>JanusGraph and Berkeley DB JE exist in captured baseline</x:v>
      </x:c>
      <x:c r="D6" s="18" t="str">
        <x:v>CONFIRMED_FACT</x:v>
      </x:c>
      <x:c r="E6" s="18" t="str">
        <x:v>HIGH</x:v>
      </x:c>
      <x:c r="F6" s="18" t="str">
        <x:v>CONFIRMED</x:v>
      </x:c>
      <x:c r="G6" s="18" t="str">
        <x:v>AAI-DOC-0307; AAI-DOC-0502</x:v>
      </x:c>
      <x:c r="H6" s="18" t="str">
        <x:v>AAI-DEC-0005</x:v>
      </x:c>
      <x:c r="I6" s="18" t="str">
        <x:v>Conflicts with later Neo4j direction</x:v>
      </x:c>
    </x:row>
    <x:row r="7">
      <x:c r="A7" s="18" t="str">
        <x:v>AAI-EVD-0006</x:v>
      </x:c>
      <x:c r="B7" s="18" t="str">
        <x:v>AAI-SRC-0004</x:v>
      </x:c>
      <x:c r="C7" s="18" t="str">
        <x:v>Neo4j Community was proposed as graph database</x:v>
      </x:c>
      <x:c r="D7" s="18" t="str">
        <x:v>CURRENT_DIRECTION</x:v>
      </x:c>
      <x:c r="E7" s="18" t="str">
        <x:v>MEDIUM</x:v>
      </x:c>
      <x:c r="F7" s="18" t="str">
        <x:v>REQUIRES_VALIDATION</x:v>
      </x:c>
      <x:c r="G7" s="18" t="str">
        <x:v>AAI-DOC-0307; AAI-DOC-0502</x:v>
      </x:c>
      <x:c r="H7" s="18" t="str">
        <x:v>AAI-DEC-0005</x:v>
      </x:c>
      <x:c r="I7" s="18" t="str">
        <x:v>ADR required</x:v>
      </x:c>
    </x:row>
    <x:row r="8">
      <x:c r="A8" s="18" t="str">
        <x:v>AAI-EVD-0007</x:v>
      </x:c>
      <x:c r="B8" s="18" t="str">
        <x:v>AAI-SRC-0001</x:v>
      </x:c>
      <x:c r="C8" s="18" t="str">
        <x:v>Complex reasoning is transferred to Devin via taskId and Work Package</x:v>
      </x:c>
      <x:c r="D8" s="18" t="str">
        <x:v>FROZEN_DECISION</x:v>
      </x:c>
      <x:c r="E8" s="18" t="str">
        <x:v>HIGH</x:v>
      </x:c>
      <x:c r="F8" s="18" t="str">
        <x:v>CONFIRMED</x:v>
      </x:c>
      <x:c r="G8" s="18" t="str">
        <x:v>AAI-DOC-0203; AAI-DOC-0401</x:v>
      </x:c>
      <x:c r="H8" s="18" t="str">
        <x:v>AAI-DEC-0004</x:v>
      </x:c>
      <x:c r="I8" s="18" t="str"/>
    </x:row>
    <x:row r="9">
      <x:c r="A9" s="18" t="str">
        <x:v>AAI-EVD-0008</x:v>
      </x:c>
      <x:c r="B9" s="18" t="str">
        <x:v>AAI-SRC-0008</x:v>
      </x:c>
      <x:c r="C9" s="18" t="str">
        <x:v>Desktop Extension POC is static and not fully connected</x:v>
      </x:c>
      <x:c r="D9" s="18" t="str">
        <x:v>CONFIRMED_FACT</x:v>
      </x:c>
      <x:c r="E9" s="18" t="str">
        <x:v>HIGH</x:v>
      </x:c>
      <x:c r="F9" s="18" t="str">
        <x:v>CONFIRMED</x:v>
      </x:c>
      <x:c r="G9" s="18" t="str">
        <x:v>AAI-DOC-0301; AAI-DOC-0801</x:v>
      </x:c>
      <x:c r="H9" s="18" t="str"/>
      <x:c r="I9" s="18" t="str"/>
    </x:row>
    <x:row r="10">
      <x:c r="A10" s="18" t="str">
        <x:v>AAI-EVD-0009</x:v>
      </x:c>
      <x:c r="B10" s="18" t="str">
        <x:v>AAI-SRC-0008</x:v>
      </x:c>
      <x:c r="C10" s="18" t="str">
        <x:v>Projection Manager exists but runtime verification is pending</x:v>
      </x:c>
      <x:c r="D10" s="18" t="str">
        <x:v>CONFIRMED_FACT</x:v>
      </x:c>
      <x:c r="E10" s="18" t="str">
        <x:v>HIGH</x:v>
      </x:c>
      <x:c r="F10" s="18" t="str">
        <x:v>CONFIRMED</x:v>
      </x:c>
      <x:c r="G10" s="18" t="str">
        <x:v>AAI-DOC-0306; AAI-DOC-0802</x:v>
      </x:c>
      <x:c r="H10" s="18" t="str"/>
      <x:c r="I10" s="18" t="str"/>
    </x:row>
    <x:row r="11">
      <x:c r="A11" s="18" t="str">
        <x:v>AAI-EVD-0010</x:v>
      </x:c>
      <x:c r="B11" s="18" t="str">
        <x:v>AAI-SRC-0003</x:v>
      </x:c>
      <x:c r="C11" s="18" t="str">
        <x:v>Bank architecture knowledge includes transversal security and core platforms</x:v>
      </x:c>
      <x:c r="D11" s="18" t="str">
        <x:v>RESEARCH_FINDING</x:v>
      </x:c>
      <x:c r="E11" s="18" t="str">
        <x:v>MEDIUM</x:v>
      </x:c>
      <x:c r="F11" s="18" t="str">
        <x:v>PARTIAL</x:v>
      </x:c>
      <x:c r="G11" s="18" t="str">
        <x:v>AAI-DOC-0701</x:v>
      </x:c>
      <x:c r="H11" s="18" t="str"/>
      <x:c r="I11" s="18" t="str">
        <x:v>Requires raw chat extraction</x:v>
      </x:c>
    </x:row>
    <x:row r="12">
      <x:c r="A12" s="18" t="str">
        <x:v>AAI-EVD-0011</x:v>
      </x:c>
      <x:c r="B12" s="18" t="str">
        <x:v>AAI-SRC-0014</x:v>
      </x:c>
      <x:c r="C12" s="18" t="str">
        <x:v>Architecture AI uses Native First: REUSE, CONFIGURE, EXTEND, BUILD, DEFER</x:v>
      </x:c>
      <x:c r="D12" s="18" t="str">
        <x:v>FROZEN_DECISION</x:v>
      </x:c>
      <x:c r="E12" s="18" t="str">
        <x:v>HIGH</x:v>
      </x:c>
      <x:c r="F12" s="18" t="str">
        <x:v>CONFIRMED</x:v>
      </x:c>
      <x:c r="G12" s="18" t="str">
        <x:v>AAI-DOC-0101</x:v>
      </x:c>
      <x:c r="H12" s="18" t="str"/>
      <x:c r="I12" s="18" t="str"/>
    </x:row>
    <x:row r="13">
      <x:c r="A13" s="18" t="str">
        <x:v>AAI-EVD-0012</x:v>
      </x:c>
      <x:c r="B13" s="18" t="str">
        <x:v>AAI-SRC-0014</x:v>
      </x:c>
      <x:c r="C13" s="18" t="str">
        <x:v>Desktop integration must remain a thin client without domain logic</x:v>
      </x:c>
      <x:c r="D13" s="18" t="str">
        <x:v>FROZEN_DECISION</x:v>
      </x:c>
      <x:c r="E13" s="18" t="str">
        <x:v>HIGH</x:v>
      </x:c>
      <x:c r="F13" s="18" t="str">
        <x:v>CONFIRMED</x:v>
      </x:c>
      <x:c r="G13" s="18" t="str">
        <x:v>AAI-DOC-0102; AAI-SPEC-0003</x:v>
      </x:c>
      <x:c r="H13" s="18" t="str"/>
      <x:c r="I13" s="18" t="str"/>
    </x:row>
    <x:row r="14">
      <x:c r="A14" s="18" t="str">
        <x:v>AAI-EVD-0013</x:v>
      </x:c>
      <x:c r="B14" s="18" t="str">
        <x:v>AAI-SRC-0014</x:v>
      </x:c>
      <x:c r="C14" s="18" t="str">
        <x:v>Scheduled jobs do not invoke Devin unless agentic reasoning is required</x:v>
      </x:c>
      <x:c r="D14" s="18" t="str">
        <x:v>FROZEN_DECISION</x:v>
      </x:c>
      <x:c r="E14" s="18" t="str">
        <x:v>HIGH</x:v>
      </x:c>
      <x:c r="F14" s="18" t="str">
        <x:v>CONFIRMED</x:v>
      </x:c>
      <x:c r="G14" s="18" t="str">
        <x:v>AAI-DOC-0105</x:v>
      </x:c>
      <x:c r="H14" s="18" t="str"/>
      <x:c r="I14" s="18" t="str"/>
    </x:row>
    <x:row r="15">
      <x:c r="A15" s="18" t="str">
        <x:v>AAI-EVD-0014</x:v>
      </x:c>
      <x:c r="B15" s="18" t="str">
        <x:v>AAI-SRC-0014</x:v>
      </x:c>
      <x:c r="C15" s="18" t="str">
        <x:v>Every recurring agentic behavior is evaluated for determinization</x:v>
      </x:c>
      <x:c r="D15" s="18" t="str">
        <x:v>CURRENT_DIRECTION</x:v>
      </x:c>
      <x:c r="E15" s="18" t="str">
        <x:v>HIGH</x:v>
      </x:c>
      <x:c r="F15" s="18" t="str">
        <x:v>CONFIRMED</x:v>
      </x:c>
      <x:c r="G15" s="18" t="str">
        <x:v>AAI-DOC-0105</x:v>
      </x:c>
      <x:c r="H15" s="18" t="str"/>
      <x:c r="I15" s="18" t="str"/>
    </x:row>
    <x:row r="16">
      <x:c r="A16" s="18" t="str">
        <x:v>AAI-EVD-0015</x:v>
      </x:c>
      <x:c r="B16" s="18" t="str">
        <x:v>AAI-SRC-0014</x:v>
      </x:c>
      <x:c r="C16" s="18" t="str">
        <x:v>Ingestion does not equal knowledge promotion</x:v>
      </x:c>
      <x:c r="D16" s="18" t="str">
        <x:v>FROZEN_DECISION</x:v>
      </x:c>
      <x:c r="E16" s="18" t="str">
        <x:v>HIGH</x:v>
      </x:c>
      <x:c r="F16" s="18" t="str">
        <x:v>CONFIRMED</x:v>
      </x:c>
      <x:c r="G16" s="18" t="str">
        <x:v>AAI-DOC-0105</x:v>
      </x:c>
      <x:c r="H16" s="18" t="str"/>
      <x:c r="I16" s="18" t="str"/>
    </x:row>
    <x:row r="17">
      <x:c r="A17" s="18" t="str">
        <x:v>AAI-EVD-0016</x:v>
      </x:c>
      <x:c r="B17" s="18" t="str">
        <x:v>AAI-SRC-0003</x:v>
      </x:c>
      <x:c r="C17" s="18" t="str">
        <x:v>Mexico is the first country context; other countries remain separately scoped</x:v>
      </x:c>
      <x:c r="D17" s="18" t="str">
        <x:v>CURRENT_DIRECTION</x:v>
      </x:c>
      <x:c r="E17" s="18" t="str">
        <x:v>HIGH</x:v>
      </x:c>
      <x:c r="F17" s="18" t="str">
        <x:v>CONFIRMED</x:v>
      </x:c>
      <x:c r="G17" s="18" t="str">
        <x:v>AAI-DOC-0102; AAI-DOC-0701</x:v>
      </x:c>
      <x:c r="H17" s="18" t="str"/>
      <x:c r="I17" s="18" t="str"/>
    </x:row>
    <x:row r="18">
      <x:c r="A18" s="18" t="str">
        <x:v>AAI-EVD-0017</x:v>
      </x:c>
      <x:c r="B18" s="18" t="str">
        <x:v>AAI-SRC-0003</x:v>
      </x:c>
      <x:c r="C18" s="18" t="str">
        <x:v>Security, fraud, PCI, data, integration, operations and risk are interrelated vectors</x:v>
      </x:c>
      <x:c r="D18" s="18" t="str">
        <x:v>REQUIREMENT</x:v>
      </x:c>
      <x:c r="E18" s="18" t="str">
        <x:v>HIGH</x:v>
      </x:c>
      <x:c r="F18" s="18" t="str">
        <x:v>CONFIRMED</x:v>
      </x:c>
      <x:c r="G18" s="18" t="str">
        <x:v>AAI-DOC-0104; AAI-SPEC-0002</x:v>
      </x:c>
      <x:c r="H18" s="18" t="str"/>
      <x:c r="I18" s="18" t="str"/>
    </x:row>
    <x:row r="19">
      <x:c r="A19" s="18" t="str">
        <x:v>AAI-EVD-0018</x:v>
      </x:c>
      <x:c r="B19" s="18" t="str">
        <x:v>AAI-SRC-0003</x:v>
      </x:c>
      <x:c r="C19" s="18" t="str">
        <x:v>PAN should not be propagated without PCI justification and human acceptance</x:v>
      </x:c>
      <x:c r="D19" s="18" t="str">
        <x:v>CONSTRAINT</x:v>
      </x:c>
      <x:c r="E19" s="18" t="str">
        <x:v>HIGH</x:v>
      </x:c>
      <x:c r="F19" s="18" t="str">
        <x:v>CONFIRMED</x:v>
      </x:c>
      <x:c r="G19" s="18" t="str">
        <x:v>AAI-DOC-0106; AAI-DOC-0701</x:v>
      </x:c>
      <x:c r="H19" s="18" t="str"/>
      <x:c r="I19" s="18" t="str"/>
    </x:row>
    <x:row r="20">
      <x:c r="A20" s="18" t="str">
        <x:v>AAI-EVD-0019</x:v>
      </x:c>
      <x:c r="B20" s="18" t="str">
        <x:v>AAI-SRC-0003</x:v>
      </x:c>
      <x:c r="C20" s="18" t="str">
        <x:v>JWSID does not replace the application session maintained by the channel</x:v>
      </x:c>
      <x:c r="D20" s="18" t="str">
        <x:v>CONFIRMED_FACT</x:v>
      </x:c>
      <x:c r="E20" s="18" t="str">
        <x:v>HIGH</x:v>
      </x:c>
      <x:c r="F20" s="18" t="str">
        <x:v>CONFIRMED</x:v>
      </x:c>
      <x:c r="G20" s="18" t="str">
        <x:v>AAI-DOC-0106; AAI-DOC-0701</x:v>
      </x:c>
      <x:c r="H20" s="18" t="str"/>
      <x:c r="I20" s="18" t="str"/>
    </x:row>
    <x:row r="21">
      <x:c r="A21" s="18" t="str">
        <x:v>AAI-EVD-0020</x:v>
      </x:c>
      <x:c r="B21" s="18" t="str">
        <x:v>AAI-SRC-0014</x:v>
      </x:c>
      <x:c r="C21" s="18" t="str">
        <x:v>Prompt 00 full source contains detailed specifications, not only high-level ideas</x:v>
      </x:c>
      <x:c r="D21" s="18" t="str">
        <x:v>CONFIRMED_FACT</x:v>
      </x:c>
      <x:c r="E21" s="18" t="str">
        <x:v>HIGH</x:v>
      </x:c>
      <x:c r="F21" s="18" t="str">
        <x:v>CONFIRMED</x:v>
      </x:c>
      <x:c r="G21" s="18" t="str">
        <x:v>HAPPY-KNOW-22; HAPPY-KNOW-37</x:v>
      </x:c>
      <x:c r="H21" s="18" t="str"/>
      <x:c r="I21" s="18" t="str">
        <x:v>2,510 lines materialized</x:v>
      </x:c>
    </x:row>
    <x:row r="22">
      <x:c r="A22" s="18" t="str">
        <x:v>AAI-EVD-0021</x:v>
      </x:c>
      <x:c r="B22" s="18" t="str">
        <x:v>AAI-SRC-0032</x:v>
      </x:c>
      <x:c r="C22" s="18" t="str">
        <x:v>Work operates as Master Knowledge Compiler using snapshot plus delta</x:v>
      </x:c>
      <x:c r="D22" s="18" t="str">
        <x:v>FROZEN_DECISION</x:v>
      </x:c>
      <x:c r="E22" s="18" t="str">
        <x:v>HIGH</x:v>
      </x:c>
      <x:c r="F22" s="18" t="str">
        <x:v>CONFIRMED</x:v>
      </x:c>
      <x:c r="G22" s="18" t="str">
        <x:v>HAPPY-KNOW-00; HAPPY-KNOW-34</x:v>
      </x:c>
      <x:c r="H22" s="18" t="str">
        <x:v>AAI-DEC-0011</x:v>
      </x:c>
      <x:c r="I22" s="18" t="str">
        <x:v>Current user directive</x:v>
      </x:c>
    </x:row>
    <x:row r="23">
      <x:c r="A23" s="18" t="str">
        <x:v>AAI-EVD-0022</x:v>
      </x:c>
      <x:c r="B23" s="18" t="str">
        <x:v>AAI-SRC-0004</x:v>
      </x:c>
      <x:c r="C23" s="18" t="str">
        <x:v>Neo4j Community is the later user direction for the local graph</x:v>
      </x:c>
      <x:c r="D23" s="18" t="str">
        <x:v>CURRENT_DIRECTION</x:v>
      </x:c>
      <x:c r="E23" s="18" t="str">
        <x:v>HIGH</x:v>
      </x:c>
      <x:c r="F23" s="18" t="str">
        <x:v>REQUIRES_VALIDATION</x:v>
      </x:c>
      <x:c r="G23" s="18" t="str">
        <x:v>AAI-DOC-0307; AAI-DOC-0502; HAPPY-KNOW-32</x:v>
      </x:c>
      <x:c r="H23" s="18" t="str">
        <x:v>AAI-DEC-0005</x:v>
      </x:c>
      <x:c r="I23" s="18" t="str">
        <x:v>JanusGraph remains reported baseline</x:v>
      </x:c>
    </x:row>
    <x:row r="24">
      <x:c r="A24" s="18" t="str">
        <x:v>AAI-EVD-0023</x:v>
      </x:c>
      <x:c r="B24" s="18" t="str">
        <x:v>AAI-SRC-0008</x:v>
      </x:c>
      <x:c r="C24" s="18" t="str">
        <x:v>18 test files and 60+ cases were reported but not executed</x:v>
      </x:c>
      <x:c r="D24" s="18" t="str">
        <x:v>IMPLEMENTATION_STATUS</x:v>
      </x:c>
      <x:c r="E24" s="18" t="str">
        <x:v>MEDIUM</x:v>
      </x:c>
      <x:c r="F24" s="18" t="str">
        <x:v>PARTIAL</x:v>
      </x:c>
      <x:c r="G24" s="18" t="str">
        <x:v>HAPPY-KNOW-26; HAPPY-KNOW-28</x:v>
      </x:c>
      <x:c r="H24" s="18" t="str"/>
      <x:c r="I24" s="18" t="str">
        <x:v>Raw report absent</x:v>
      </x:c>
    </x:row>
    <x:row r="25">
      <x:c r="A25" s="18" t="str">
        <x:v>AAI-EVD-0024</x:v>
      </x:c>
      <x:c r="B25" s="18" t="str">
        <x:v>AAI-SRC-0015</x:v>
      </x:c>
      <x:c r="C25" s="18" t="str">
        <x:v>MCP is stateless across requests unless state is carried by explicit identifiers</x:v>
      </x:c>
      <x:c r="D25" s="18" t="str">
        <x:v>RESEARCH_FINDING</x:v>
      </x:c>
      <x:c r="E25" s="18" t="str">
        <x:v>HIGH</x:v>
      </x:c>
      <x:c r="F25" s="18" t="str">
        <x:v>VALIDATED</x:v>
      </x:c>
      <x:c r="G25" s="18" t="str">
        <x:v>AAI-DOC-0302; AAI-DOC-0503</x:v>
      </x:c>
      <x:c r="H25" s="18" t="str"/>
      <x:c r="I25" s="18" t="str">
        <x:v>Supports taskId/work package design</x:v>
      </x:c>
    </x:row>
    <x:row r="26">
      <x:c r="A26" s="18" t="str">
        <x:v>AAI-EVD-0025</x:v>
      </x:c>
      <x:c r="B26" s="18" t="str">
        <x:v>AAI-SRC-0019</x:v>
      </x:c>
      <x:c r="C26" s="18" t="str">
        <x:v>OWASP Agentic Top 10 2026 defines ten agentic risk categories</x:v>
      </x:c>
      <x:c r="D26" s="18" t="str">
        <x:v>RESEARCH_FINDING</x:v>
      </x:c>
      <x:c r="E26" s="18" t="str">
        <x:v>HIGH</x:v>
      </x:c>
      <x:c r="F26" s="18" t="str">
        <x:v>VALIDATED</x:v>
      </x:c>
      <x:c r="G26" s="18" t="str">
        <x:v>AAI-DOC-0601; AAI-DOC-0602</x:v>
      </x:c>
      <x:c r="H26" s="18" t="str"/>
      <x:c r="I26" s="18" t="str">
        <x:v>Reference candidate</x:v>
      </x:c>
    </x:row>
    <x:row r="27">
      <x:c r="A27" s="18" t="str">
        <x:v>AAI-EVD-0026</x:v>
      </x:c>
      <x:c r="B27" s="18" t="str">
        <x:v>AAI-SRC-0020</x:v>
      </x:c>
      <x:c r="C27" s="18" t="str">
        <x:v>Neo4j Community is single-instance/GPLv3 and requires legal/operational validation</x:v>
      </x:c>
      <x:c r="D27" s="18" t="str">
        <x:v>CONSTRAINT</x:v>
      </x:c>
      <x:c r="E27" s="18" t="str">
        <x:v>HIGH</x:v>
      </x:c>
      <x:c r="F27" s="18" t="str">
        <x:v>VALIDATED</x:v>
      </x:c>
      <x:c r="G27" s="18" t="str">
        <x:v>AAI-DOC-0307; AAI-DOC-0502</x:v>
      </x:c>
      <x:c r="H27" s="18" t="str">
        <x:v>AAI-DEC-0005</x:v>
      </x:c>
      <x:c r="I27" s="18" t="str">
        <x:v>No silent adoption</x:v>
      </x:c>
    </x:row>
    <x:row r="28">
      <x:c r="A28" s="18" t="str">
        <x:v>AAI-EVD-0027</x:v>
      </x:c>
      <x:c r="B28" s="18" t="str">
        <x:v>AAI-SRC-0030</x:v>
      </x:c>
      <x:c r="C28" s="18" t="str">
        <x:v>Latest user correction equates GLUON APIs and Gravity Plus in the discussed context</x:v>
      </x:c>
      <x:c r="D28" s="18" t="str">
        <x:v>CONFIRMED_FACT</x:v>
      </x:c>
      <x:c r="E28" s="18" t="str">
        <x:v>MEDIUM</x:v>
      </x:c>
      <x:c r="F28" s="18" t="str">
        <x:v>PARTIAL</x:v>
      </x:c>
      <x:c r="G28" s="18" t="str">
        <x:v>AAI-DOC-0701; HAPPY-KNOW-32</x:v>
      </x:c>
      <x:c r="H28" s="18" t="str"/>
      <x:c r="I28" s="18" t="str">
        <x:v>Official catalog identity still required</x:v>
      </x:c>
    </x:row>
    <x:row r="29">
      <x:c r="A29" s="18" t="str">
        <x:v>AAI-EVD-0028</x:v>
      </x:c>
      <x:c r="B29" s="18" t="str">
        <x:v>AAI-SRC-0032</x:v>
      </x:c>
      <x:c r="C29" s="18" t="str">
        <x:v>Analysis waves are internal checkpoints; final documentation is transferred together only after explicit confirmation</x:v>
      </x:c>
      <x:c r="D29" s="18" t="str">
        <x:v>FROZEN_DECISION</x:v>
      </x:c>
      <x:c r="E29" s="18" t="str">
        <x:v>HIGH</x:v>
      </x:c>
      <x:c r="F29" s="18" t="str">
        <x:v>CONFIRMED</x:v>
      </x:c>
      <x:c r="G29" s="18" t="str">
        <x:v>HAPPY-KNOW-29</x:v>
      </x:c>
      <x:c r="H29" s="18" t="str">
        <x:v>AAI-DEC-0012</x:v>
      </x:c>
      <x:c r="I29" s="18" t="str">
        <x:v>No wave marked delivered</x:v>
      </x:c>
    </x:row>
    <x:row r="30">
      <x:c r="A30" s="18" t="str">
        <x:v>AAI-EVD-0029</x:v>
      </x:c>
      <x:c r="B30" s="18" t="str">
        <x:v>AAI-SRC-0031</x:v>
      </x:c>
      <x:c r="C30" s="18" t="str">
        <x:v>Recovery pass cataloged 37 Architecture AI specs and 9 banking context/example items</x:v>
      </x:c>
      <x:c r="D30" s="18" t="str">
        <x:v>WORK_RESULT</x:v>
      </x:c>
      <x:c r="E30" s="18" t="str">
        <x:v>HIGH</x:v>
      </x:c>
      <x:c r="F30" s="18" t="str">
        <x:v>CONFIRMED</x:v>
      </x:c>
      <x:c r="G30" s="18" t="str">
        <x:v>HAPPY-KNOW-22; HAPPY-KNOW-38</x:v>
      </x:c>
      <x:c r="H30" s="18" t="str"/>
      <x:c r="I30" s="18" t="str">
        <x:v>DRAFT snapshot</x:v>
      </x:c>
    </x:row>
    <x:row r="31">
      <x:c r="A31" s="18" t="str">
        <x:v>AAI-EVD-0030</x:v>
      </x:c>
      <x:c r="B31" s="18" t="str">
        <x:v>AAI-SRC-0031</x:v>
      </x:c>
      <x:c r="C31" s="18" t="str">
        <x:v>Requirements traceability separates design, reported code, test existence, execution and verification</x:v>
      </x:c>
      <x:c r="D31" s="18" t="str">
        <x:v>WORK_RESULT</x:v>
      </x:c>
      <x:c r="E31" s="18" t="str">
        <x:v>HIGH</x:v>
      </x:c>
      <x:c r="F31" s="18" t="str">
        <x:v>CONFIRMED</x:v>
      </x:c>
      <x:c r="G31" s="18" t="str">
        <x:v>HAPPY-KNOW-24; HAPPY-KNOW-27; HAPPY-KNOW-28</x:v>
      </x:c>
      <x:c r="H31" s="18" t="str"/>
      <x:c r="I31" s="18" t="str">
        <x:v>Prevents false completion</x:v>
      </x:c>
    </x:row>
    <x:row r="32" ht="42" customHeight="1">
      <x:c r="A32" s="19" t="str">
        <x:v>AAI-EVD-0031</x:v>
      </x:c>
      <x:c r="B32" s="19" t="str">
        <x:v>AAI-SRC-0034</x:v>
      </x:c>
      <x:c r="C32" s="19" t="str">
        <x:v>Final criterion is HAPPY_HANDOFF_READY: an operational bootstrap, not passive documentation</x:v>
      </x:c>
      <x:c r="D32" s="19" t="str">
        <x:v>FROZEN_DECISION</x:v>
      </x:c>
      <x:c r="E32" s="19" t="str">
        <x:v>HIGH</x:v>
      </x:c>
      <x:c r="F32" s="19" t="str">
        <x:v>CONFIRMED</x:v>
      </x:c>
      <x:c r="G32" s="19" t="str">
        <x:v>HAPPY-KNOW-39; HAPPY-KNOW-44</x:v>
      </x:c>
      <x:c r="H32" s="19" t="str">
        <x:v>AAI-DEC-0013</x:v>
      </x:c>
      <x:c r="I32" s="19" t="str">
        <x:v>Current readiness remains FALSE</x:v>
      </x:c>
    </x:row>
    <x:row r="33" ht="42" customHeight="1">
      <x:c r="A33" s="19" t="str">
        <x:v>AAI-EVD-0032</x:v>
      </x:c>
      <x:c r="B33" s="19" t="str">
        <x:v>AAI-SRC-0034</x:v>
      </x:c>
      <x:c r="C33" s="19" t="str">
        <x:v>Sprint is Planning/Work Management and must not be confused with Spring Boot or Agent</x:v>
      </x:c>
      <x:c r="D33" s="19" t="str">
        <x:v>FROZEN_DECISION</x:v>
      </x:c>
      <x:c r="E33" s="19" t="str">
        <x:v>HIGH</x:v>
      </x:c>
      <x:c r="F33" s="19" t="str">
        <x:v>CONFIRMED</x:v>
      </x:c>
      <x:c r="G33" s="19" t="str">
        <x:v>HAPPY-KNOW-39; HAPPY-KNOW-22</x:v>
      </x:c>
      <x:c r="H33" s="19" t="str">
        <x:v>AAI-DEC-0014</x:v>
      </x:c>
      <x:c r="I33" s="19" t="str">
        <x:v>AAI-SPEC-0037 discovered; historic details missing</x:v>
      </x:c>
    </x:row>
    <x:row r="34" ht="42" customHeight="1">
      <x:c r="A34" s="19" t="str">
        <x:v>AAI-EVD-0033</x:v>
      </x:c>
      <x:c r="B34" s="19" t="str">
        <x:v>AAI-SRC-0034</x:v>
      </x:c>
      <x:c r="C34" s="19" t="str">
        <x:v>Blueprint is a modeling proposal, not a prior canonical decision</x:v>
      </x:c>
      <x:c r="D34" s="19" t="str">
        <x:v>PROPOSAL</x:v>
      </x:c>
      <x:c r="E34" s="19" t="str">
        <x:v>HIGH</x:v>
      </x:c>
      <x:c r="F34" s="19" t="str">
        <x:v>CONFIRMED</x:v>
      </x:c>
      <x:c r="G34" s="19" t="str">
        <x:v>HAPPY-KNOW-39; HAPPY-KNOW-41</x:v>
      </x:c>
      <x:c r="H34" s="19" t="str">
        <x:v>AAI-DEC-0016</x:v>
      </x:c>
      <x:c r="I34" s="19" t="str">
        <x:v>No implementation gate</x:v>
      </x:c>
    </x:row>
    <x:row r="35" ht="42" customHeight="1">
      <x:c r="A35" s="19" t="str">
        <x:v>AAI-EVD-0034</x:v>
      </x:c>
      <x:c r="B35" s="19" t="str">
        <x:v>AAI-SRC-0034</x:v>
      </x:c>
      <x:c r="C35" s="19" t="str">
        <x:v>Devin autonomy is governed by specs, dependencies, entry/exit criteria, skills, tools and typed escalation</x:v>
      </x:c>
      <x:c r="D35" s="19" t="str">
        <x:v>FROZEN_DECISION</x:v>
      </x:c>
      <x:c r="E35" s="19" t="str">
        <x:v>HIGH</x:v>
      </x:c>
      <x:c r="F35" s="19" t="str">
        <x:v>CONFIRMED</x:v>
      </x:c>
      <x:c r="G35" s="19" t="str">
        <x:v>HAPPY-KNOW-39; HAPPY-KNOW-42</x:v>
      </x:c>
      <x:c r="H35" s="19" t="str">
        <x:v>AAI-DEC-0015</x:v>
      </x:c>
      <x:c r="I35" s="19" t="str">
        <x:v>No reopening closed human decisions</x:v>
      </x:c>
    </x:row>
    <x:row r="36" ht="42" customHeight="1">
      <x:c r="A36" s="19" t="str">
        <x:v>AAI-EVD-0035</x:v>
      </x:c>
      <x:c r="B36" s="19" t="str">
        <x:v>AAI-SRC-0034</x:v>
      </x:c>
      <x:c r="C36" s="19" t="str">
        <x:v>Only Devin runs 00 and 01 are confirmed; the next prompt sequence is unresolved</x:v>
      </x:c>
      <x:c r="D36" s="19" t="str">
        <x:v>FROZEN_DECISION</x:v>
      </x:c>
      <x:c r="E36" s="19" t="str">
        <x:v>HIGH</x:v>
      </x:c>
      <x:c r="F36" s="19" t="str">
        <x:v>CONFIRMED</x:v>
      </x:c>
      <x:c r="G36" s="19" t="str">
        <x:v>HAPPY-KNOW-29; HAPPY-KNOW-39</x:v>
      </x:c>
      <x:c r="H36" s="19" t="str">
        <x:v>AAI-DEC-0017</x:v>
      </x:c>
      <x:c r="I36" s="19" t="str">
        <x:v>Draft IDs are preserved but sequence unassigned</x:v>
      </x:c>
    </x:row>
    <x:row r="37" ht="42" customHeight="1">
      <x:c r="A37" s="19" t="str">
        <x:v>AAI-EVD-0036</x:v>
      </x:c>
      <x:c r="B37" s="19" t="str">
        <x:v>AAI-SRC-0034</x:v>
      </x:c>
      <x:c r="C37" s="19" t="str">
        <x:v>Graph ADR cannot be finalized from current partial evidence</x:v>
      </x:c>
      <x:c r="D37" s="19" t="str">
        <x:v>FROZEN_DECISION</x:v>
      </x:c>
      <x:c r="E37" s="19" t="str">
        <x:v>HIGH</x:v>
      </x:c>
      <x:c r="F37" s="19" t="str">
        <x:v>CONFIRMED</x:v>
      </x:c>
      <x:c r="G37" s="19" t="str">
        <x:v>HAPPY-KNOW-39; HAPPY-KNOW-45</x:v>
      </x:c>
      <x:c r="H37" s="19" t="str">
        <x:v>AAI-DEC-0018</x:v>
      </x:c>
      <x:c r="I37" s="19" t="str">
        <x:v>Requires corpus, alternatives, code and drift reconciliation</x:v>
      </x:c>
    </x:row>
    <x:row r="38" ht="42" customHeight="1">
      <x:c r="A38" s="19" t="str">
        <x:v>AAI-EVD-0037</x:v>
      </x:c>
      <x:c r="B38" s="19" t="str">
        <x:v>AAI-SRC-0034</x:v>
      </x:c>
      <x:c r="C38" s="19" t="str">
        <x:v>Autoevolution is observation, impact analysis, proposed versioned change and verification under known boundaries</x:v>
      </x:c>
      <x:c r="D38" s="19" t="str">
        <x:v>FROZEN_DECISION</x:v>
      </x:c>
      <x:c r="E38" s="19" t="str">
        <x:v>HIGH</x:v>
      </x:c>
      <x:c r="F38" s="19" t="str">
        <x:v>CONFIRMED</x:v>
      </x:c>
      <x:c r="G38" s="19" t="str">
        <x:v>HAPPY-KNOW-39; HAPPY-KNOW-41; HAPPY-KNOW-42</x:v>
      </x:c>
      <x:c r="H38" s="19" t="str">
        <x:v>AAI-DEC-0019</x:v>
      </x:c>
      <x:c r="I38" s="19" t="str">
        <x:v>No arbitrary architecture mutation</x:v>
      </x:c>
    </x:row>
    <x:row r="39" ht="42" customHeight="1">
      <x:c r="A39" s="19" t="str">
        <x:v>AAI-EVD-0038</x:v>
      </x:c>
      <x:c r="B39" s="19" t="str">
        <x:v>AAI-SRC-0036</x:v>
      </x:c>
      <x:c r="C39" s="19" t="str">
        <x:v>AAI-SPEC-0004 through 0008 were formalized with schemas and diagrams without elevating implementation status</x:v>
      </x:c>
      <x:c r="D39" s="19" t="str">
        <x:v>WORK_RESULT</x:v>
      </x:c>
      <x:c r="E39" s="19" t="str">
        <x:v>HIGH</x:v>
      </x:c>
      <x:c r="F39" s="19" t="str">
        <x:v>CONFIRMED</x:v>
      </x:c>
      <x:c r="G39" s="19" t="str">
        <x:v>HAPPY-KNOW-22; HAPPY-KNOW-27</x:v>
      </x:c>
      <x:c r="H39" s="19" t="str"/>
      <x:c r="I39" s="19" t="str">
        <x:v>DRAFT / PREPARED_NOT_DELIVERED</x:v>
      </x:c>
    </x:row>
    <x:row r="40" ht="42" customHeight="1">
      <x:c r="A40" s="19" t="str">
        <x:v>AAI-EVD-0039</x:v>
      </x:c>
      <x:c r="B40" s="19" t="str">
        <x:v>AAI-SRC-0036</x:v>
      </x:c>
      <x:c r="C40" s="19" t="str">
        <x:v>No-Loss Review remains incomplete because raw chats, repo, baseline, catalogs and runtime evidence are absent</x:v>
      </x:c>
      <x:c r="D40" s="19" t="str">
        <x:v>WORK_RESULT</x:v>
      </x:c>
      <x:c r="E40" s="19" t="str">
        <x:v>HIGH</x:v>
      </x:c>
      <x:c r="F40" s="19" t="str">
        <x:v>CONFIRMED</x:v>
      </x:c>
      <x:c r="G40" s="19" t="str">
        <x:v>HAPPY-KNOW-43; HAPPY-KNOW-44</x:v>
      </x:c>
      <x:c r="H40" s="19" t="str">
        <x:v>AAI-DEC-0013</x:v>
      </x:c>
      <x:c r="I40" s="19" t="str">
        <x:v>HAPPY_HANDOFF_READY=FALSE</x:v>
      </x:c>
    </x:row>
    <x:row r="41" ht="44" customHeight="1">
      <x:c r="A41" s="19" t="str">
        <x:v>AAI-EVD-0040</x:v>
      </x:c>
      <x:c r="B41" s="19" t="str">
        <x:v>AAI-SRC-0038</x:v>
      </x:c>
      <x:c r="C41" s="19" t="str">
        <x:v>Task main lifecycle is NEW through CLOSED with explicit BLOCKED, DEGRADED, REJECTED and CANCELLED alternate states</x:v>
      </x:c>
      <x:c r="D41" s="19" t="str">
        <x:v>WORK_RESULT</x:v>
      </x:c>
      <x:c r="E41" s="19" t="str">
        <x:v>HIGH</x:v>
      </x:c>
      <x:c r="F41" s="19" t="str">
        <x:v>CONFIRMED</x:v>
      </x:c>
      <x:c r="G41" s="19" t="str">
        <x:v>AAI-SPEC-0009; HK-DGM-0009</x:v>
      </x:c>
      <x:c r="H41" s="19" t="str">
        <x:v>AAI-DEC-0015</x:v>
      </x:c>
      <x:c r="I41" s="19" t="str">
        <x:v>Contract formalized; runtime not observed</x:v>
      </x:c>
    </x:row>
    <x:row r="42" ht="44" customHeight="1">
      <x:c r="A42" s="19" t="str">
        <x:v>AAI-EVD-0041</x:v>
      </x:c>
      <x:c r="B42" s="19" t="str">
        <x:v>AAI-SRC-0038</x:v>
      </x:c>
      <x:c r="C42" s="19" t="str">
        <x:v>Question types, ten states, outcomes and evidence-aware routing were preserved without reducing them to a summary</x:v>
      </x:c>
      <x:c r="D42" s="19" t="str">
        <x:v>WORK_RESULT</x:v>
      </x:c>
      <x:c r="E42" s="19" t="str">
        <x:v>HIGH</x:v>
      </x:c>
      <x:c r="F42" s="19" t="str">
        <x:v>CONFIRMED</x:v>
      </x:c>
      <x:c r="G42" s="19" t="str">
        <x:v>AAI-SPEC-0010; HK-DGM-0010</x:v>
      </x:c>
      <x:c r="H42" s="19" t="str">
        <x:v>AAI-DEC-0009; AAI-DEC-0015</x:v>
      </x:c>
      <x:c r="I42" s="19" t="str">
        <x:v>Runtime not observed</x:v>
      </x:c>
    </x:row>
    <x:row r="43" ht="44" customHeight="1">
      <x:c r="A43" s="19" t="str">
        <x:v>AAI-EVD-0042</x:v>
      </x:c>
      <x:c r="B43" s="19" t="str">
        <x:v>AAI-SRC-0038</x:v>
      </x:c>
      <x:c r="C43" s="19" t="str">
        <x:v>Delegation retains task, from, to, delegatedBy, reason, timestamp and expertiseReason; observed expertise does not replace formal responsibility</x:v>
      </x:c>
      <x:c r="D43" s="19" t="str">
        <x:v>WORK_RESULT</x:v>
      </x:c>
      <x:c r="E43" s="19" t="str">
        <x:v>HIGH</x:v>
      </x:c>
      <x:c r="F43" s="19" t="str">
        <x:v>CONFIRMED</x:v>
      </x:c>
      <x:c r="G43" s="19" t="str">
        <x:v>AAI-SPEC-0009; AAI-SCHEMA-0010</x:v>
      </x:c>
      <x:c r="H43" s="19" t="str">
        <x:v>AAI-DEC-0015</x:v>
      </x:c>
      <x:c r="I43" s="19" t="str">
        <x:v>Authority remains explicit</x:v>
      </x:c>
    </x:row>
    <x:row r="44" ht="44" customHeight="1">
      <x:c r="A44" s="19" t="str">
        <x:v>AAI-EVD-0043</x:v>
      </x:c>
      <x:c r="B44" s="19" t="str">
        <x:v>AAI-SRC-0038</x:v>
      </x:c>
      <x:c r="C44" s="19" t="str">
        <x:v>AAI-SPEC-0009 and 0010 are formal DRAFTs without elevating implementation or verification status</x:v>
      </x:c>
      <x:c r="D44" s="19" t="str">
        <x:v>WORK_RESULT</x:v>
      </x:c>
      <x:c r="E44" s="19" t="str">
        <x:v>HIGH</x:v>
      </x:c>
      <x:c r="F44" s="19" t="str">
        <x:v>CONFIRMED</x:v>
      </x:c>
      <x:c r="G44" s="19" t="str">
        <x:v>HAPPY-KNOW-22; HAPPY-KNOW-27</x:v>
      </x:c>
      <x:c r="H44" s="19" t="str">
        <x:v>AAI-DEC-0011</x:v>
      </x:c>
      <x:c r="I44" s="19" t="str">
        <x:v>No code/runtime claim</x:v>
      </x:c>
    </x:row>
    <x:row r="45" ht="44" customHeight="1">
      <x:c r="A45" s="19" t="str">
        <x:v>AAI-EVD-0044</x:v>
      </x:c>
      <x:c r="B45" s="19" t="str">
        <x:v>AAI-SRC-0038</x:v>
      </x:c>
      <x:c r="C45" s="19" t="str">
        <x:v>Four bootstrap skeletons distinguish CANONICAL, DERIVED, PROPOSAL and BLOCKED_BY_SOURCE</x:v>
      </x:c>
      <x:c r="D45" s="19" t="str">
        <x:v>WORK_RESULT</x:v>
      </x:c>
      <x:c r="E45" s="19" t="str">
        <x:v>HIGH</x:v>
      </x:c>
      <x:c r="F45" s="19" t="str">
        <x:v>CONFIRMED</x:v>
      </x:c>
      <x:c r="G45" s="19" t="str">
        <x:v>HAPPY-BOOT-0001..0004</x:v>
      </x:c>
      <x:c r="H45" s="19" t="str">
        <x:v>AAI-DEC-0013; AAI-DEC-0015</x:v>
      </x:c>
      <x:c r="I45" s="19" t="str">
        <x:v>Not installed or executed</x:v>
      </x:c>
    </x:row>
    <x:row r="46" ht="44" customHeight="1">
      <x:c r="A46" s="19" t="str">
        <x:v>AAI-EVD-0045</x:v>
      </x:c>
      <x:c r="B46" s="19" t="str">
        <x:v>AAI-SRC-0038</x:v>
      </x:c>
      <x:c r="C46" s="19" t="str">
        <x:v>A provisional lifecycle event envelope was created while AAI-SPEC-0036 remains DISCOVERED and transport semantics remain blocked</x:v>
      </x:c>
      <x:c r="D46" s="19" t="str">
        <x:v>WORK_RESULT</x:v>
      </x:c>
      <x:c r="E46" s="19" t="str">
        <x:v>HIGH</x:v>
      </x:c>
      <x:c r="F46" s="19" t="str">
        <x:v>CONFIRMED</x:v>
      </x:c>
      <x:c r="G46" s="19" t="str">
        <x:v>AAI-SCHEMA-0008; HAPPY-KNOW-23</x:v>
      </x:c>
      <x:c r="H46" s="19" t="str"/>
      <x:c r="I46" s="19" t="str">
        <x:v>No final MCP/event contract</x:v>
      </x:c>
    </x:row>
    <x:row r="47" ht="44" customHeight="1">
      <x:c r="A47" s="19" t="str">
        <x:v>AAI-EVD-0046</x:v>
      </x:c>
      <x:c r="B47" s="19" t="str">
        <x:v>AAI-SRC-0038</x:v>
      </x:c>
      <x:c r="C47" s="19" t="str">
        <x:v>Oleada 3B increases documentary coverage but HAPPY_HANDOFF_READY remains FALSE and delivery remains PREPARED_NOT_DELIVERED</x:v>
      </x:c>
      <x:c r="D47" s="19" t="str">
        <x:v>WORK_RESULT</x:v>
      </x:c>
      <x:c r="E47" s="19" t="str">
        <x:v>HIGH</x:v>
      </x:c>
      <x:c r="F47" s="19" t="str">
        <x:v>CONFIRMED</x:v>
      </x:c>
      <x:c r="G47" s="19" t="str">
        <x:v>HAPPY-KNOW-44; HAPPY-KNOW-49</x:v>
      </x:c>
      <x:c r="H47" s="19" t="str">
        <x:v>AAI-DEC-0013</x:v>
      </x:c>
      <x:c r="I47" s="19" t="str">
        <x:v>SER-001..012 remain open</x:v>
      </x:c>
    </x:row>
    <x:row r="48" ht="44" customHeight="1">
      <x:c r="A48" s="19" t="str">
        <x:v>AAI-EVD-0047</x:v>
      </x:c>
      <x:c r="B48" s="19" t="str">
        <x:v>AAI-SRC-0039</x:v>
      </x:c>
      <x:c r="C48" s="19" t="str">
        <x:v>Seed V1 is roots/DNA/map/rules of growth, not the full platform</x:v>
      </x:c>
      <x:c r="D48" s="19" t="str">
        <x:v>WORK_RESULT</x:v>
      </x:c>
      <x:c r="E48" s="19" t="str">
        <x:v>HIGH</x:v>
      </x:c>
      <x:c r="F48" s="19" t="str">
        <x:v>CONFIRMED</x:v>
      </x:c>
      <x:c r="G48" s="19" t="str">
        <x:v>HAPPY-KNOW-55; 66</x:v>
      </x:c>
      <x:c r="H48" s="19" t="str">
        <x:v>AAI-DEC-0020</x:v>
      </x:c>
      <x:c r="I48" s="19" t="str">
        <x:v>Documentary decision</x:v>
      </x:c>
    </x:row>
    <x:row r="49" ht="44" customHeight="1">
      <x:c r="A49" s="19" t="str">
        <x:v>AAI-EVD-0048</x:v>
      </x:c>
      <x:c r="B49" s="19" t="str">
        <x:v>AAI-SRC-0040</x:v>
      </x:c>
      <x:c r="C49" s="19" t="str">
        <x:v>23 target capability candidates were reconciled without allocating Spec IDs</x:v>
      </x:c>
      <x:c r="D49" s="19" t="str">
        <x:v>WORK_RESULT</x:v>
      </x:c>
      <x:c r="E49" s="19" t="str">
        <x:v>HIGH</x:v>
      </x:c>
      <x:c r="F49" s="19" t="str">
        <x:v>CONFIRMED</x:v>
      </x:c>
      <x:c r="G49" s="19" t="str">
        <x:v>HAPPY-KNOW-54; 53</x:v>
      </x:c>
      <x:c r="H49" s="19" t="str">
        <x:v>AAI-DEC-0020</x:v>
      </x:c>
      <x:c r="I49" s="19" t="str">
        <x:v>No Spec explosion</x:v>
      </x:c>
    </x:row>
    <x:row r="50" ht="44" customHeight="1">
      <x:c r="A50" s="19" t="str">
        <x:v>AAI-EVD-0049</x:v>
      </x:c>
      <x:c r="B50" s="19" t="str">
        <x:v>AAI-SRC-0040</x:v>
      </x:c>
      <x:c r="C50" s="19" t="str">
        <x:v>Initial knowledge layers/vectors are evolvable, not a final ontology</x:v>
      </x:c>
      <x:c r="D50" s="19" t="str">
        <x:v>WORK_RESULT</x:v>
      </x:c>
      <x:c r="E50" s="19" t="str">
        <x:v>HIGH</x:v>
      </x:c>
      <x:c r="F50" s="19" t="str">
        <x:v>CONFIRMED</x:v>
      </x:c>
      <x:c r="G50" s="19" t="str">
        <x:v>HAPPY-KNOW-56</x:v>
      </x:c>
      <x:c r="H50" s="19" t="str">
        <x:v>AAI-DEC-0019; 0020</x:v>
      </x:c>
      <x:c r="I50" s="19" t="str">
        <x:v>Derived model</x:v>
      </x:c>
    </x:row>
    <x:row r="51" ht="44" customHeight="1">
      <x:c r="A51" s="19" t="str">
        <x:v>AAI-EVD-0050</x:v>
      </x:c>
      <x:c r="B51" s="19" t="str">
        <x:v>AAI-SRC-0040</x:v>
      </x:c>
      <x:c r="C51" s="19" t="str">
        <x:v>Capability dependencies and autonomy paths are mapped; prioritization weights remain incomplete</x:v>
      </x:c>
      <x:c r="D51" s="19" t="str">
        <x:v>WORK_RESULT</x:v>
      </x:c>
      <x:c r="E51" s="19" t="str">
        <x:v>HIGH</x:v>
      </x:c>
      <x:c r="F51" s="19" t="str">
        <x:v>CONFIRMED</x:v>
      </x:c>
      <x:c r="G51" s="19" t="str">
        <x:v>HAPPY-KNOW-57</x:v>
      </x:c>
      <x:c r="H51" s="19" t="str">
        <x:v>AAI-DEC-0015</x:v>
      </x:c>
      <x:c r="I51" s="19" t="str">
        <x:v>No invented ranking</x:v>
      </x:c>
    </x:row>
    <x:row r="52" ht="44" customHeight="1">
      <x:c r="A52" s="19" t="str">
        <x:v>AAI-EVD-0051</x:v>
      </x:c>
      <x:c r="B52" s="19" t="str">
        <x:v>AAI-SRC-0040</x:v>
      </x:c>
      <x:c r="C52" s="19" t="str">
        <x:v>Work Model V1 separates Context, Harness and Loop Engineering</x:v>
      </x:c>
      <x:c r="D52" s="19" t="str">
        <x:v>WORK_RESULT</x:v>
      </x:c>
      <x:c r="E52" s="19" t="str">
        <x:v>HIGH</x:v>
      </x:c>
      <x:c r="F52" s="19" t="str">
        <x:v>CONFIRMED</x:v>
      </x:c>
      <x:c r="G52" s="19" t="str">
        <x:v>HAPPY-KNOW-58</x:v>
      </x:c>
      <x:c r="H52" s="19" t="str">
        <x:v>AAI-DEC-0015; 0019</x:v>
      </x:c>
      <x:c r="I52" s="19" t="str">
        <x:v>Not implemented</x:v>
      </x:c>
    </x:row>
    <x:row r="53" ht="44" customHeight="1">
      <x:c r="A53" s="19" t="str">
        <x:v>AAI-EVD-0052</x:v>
      </x:c>
      <x:c r="B53" s="19" t="str">
        <x:v>AAI-SRC-0040</x:v>
      </x:c>
      <x:c r="C53" s="19" t="str">
        <x:v>Technology current baseline, target direction and evolution rule are separated</x:v>
      </x:c>
      <x:c r="D53" s="19" t="str">
        <x:v>WORK_RESULT</x:v>
      </x:c>
      <x:c r="E53" s="19" t="str">
        <x:v>HIGH</x:v>
      </x:c>
      <x:c r="F53" s="19" t="str">
        <x:v>CONFIRMED</x:v>
      </x:c>
      <x:c r="G53" s="19" t="str">
        <x:v>HAPPY-KNOW-59</x:v>
      </x:c>
      <x:c r="H53" s="19" t="str">
        <x:v>AAI-DEC-0007; 0019</x:v>
      </x:c>
      <x:c r="I53" s="19" t="str">
        <x:v>Deferred technology choices preserved</x:v>
      </x:c>
    </x:row>
    <x:row r="54" ht="44" customHeight="1">
      <x:c r="A54" s="19" t="str">
        <x:v>AAI-EVD-0053</x:v>
      </x:c>
      <x:c r="B54" s="19" t="str">
        <x:v>AAI-SRC-0041</x:v>
      </x:c>
      <x:c r="C54" s="19" t="str">
        <x:v>Staging repo identity/public role stated; no local checkout or access observed</x:v>
      </x:c>
      <x:c r="D54" s="19" t="str">
        <x:v>WORK_RESULT</x:v>
      </x:c>
      <x:c r="E54" s="19" t="str">
        <x:v>HIGH</x:v>
      </x:c>
      <x:c r="F54" s="19" t="str">
        <x:v>CONFIRMED</x:v>
      </x:c>
      <x:c r="G54" s="19" t="str">
        <x:v>HAPPY-KNOW-60; SER-013</x:v>
      </x:c>
      <x:c r="H54" s="19" t="str">
        <x:v>AAI-DEC-0022</x:v>
      </x:c>
      <x:c r="I54" s="19" t="str">
        <x:v>No Git sync claim</x:v>
      </x:c>
    </x:row>
    <x:row r="55" ht="44" customHeight="1">
      <x:c r="A55" s="19" t="str">
        <x:v>AAI-EVD-0054</x:v>
      </x:c>
      <x:c r="B55" s="19" t="str">
        <x:v>AAI-SRC-0040</x:v>
      </x:c>
      <x:c r="C55" s="19" t="str">
        <x:v>G1..G11 block Seed readiness; G12 accepts explicit unknowns</x:v>
      </x:c>
      <x:c r="D55" s="19" t="str">
        <x:v>WORK_RESULT</x:v>
      </x:c>
      <x:c r="E55" s="19" t="str">
        <x:v>HIGH</x:v>
      </x:c>
      <x:c r="F55" s="19" t="str">
        <x:v>CONFIRMED</x:v>
      </x:c>
      <x:c r="G55" s="19" t="str">
        <x:v>HAPPY-KNOW-61</x:v>
      </x:c>
      <x:c r="H55" s="19" t="str">
        <x:v>AAI-DEC-0023</x:v>
      </x:c>
      <x:c r="I55" s="19" t="str">
        <x:v>Acceptance not executed</x:v>
      </x:c>
    </x:row>
    <x:row r="56" ht="44" customHeight="1">
      <x:c r="A56" s="19" t="str">
        <x:v>AAI-EVD-0055</x:v>
      </x:c>
      <x:c r="B56" s="19" t="str">
        <x:v>AAI-SRC-0040</x:v>
      </x:c>
      <x:c r="C56" s="19" t="str">
        <x:v>Twenty research obligations preserve standards/reuse questions</x:v>
      </x:c>
      <x:c r="D56" s="19" t="str">
        <x:v>WORK_RESULT</x:v>
      </x:c>
      <x:c r="E56" s="19" t="str">
        <x:v>HIGH</x:v>
      </x:c>
      <x:c r="F56" s="19" t="str">
        <x:v>CONFIRMED</x:v>
      </x:c>
      <x:c r="G56" s="19" t="str">
        <x:v>HAPPY-KNOW-62</x:v>
      </x:c>
      <x:c r="H56" s="19" t="str">
        <x:v>AAI-DEC-0008</x:v>
      </x:c>
      <x:c r="I56" s="19" t="str">
        <x:v>No standard adoption inferred</x:v>
      </x:c>
    </x:row>
    <x:row r="57" ht="44" customHeight="1">
      <x:c r="A57" s="19" t="str">
        <x:v>AAI-EVD-0056</x:v>
      </x:c>
      <x:c r="B57" s="19" t="str">
        <x:v>AAI-SRC-0040</x:v>
      </x:c>
      <x:c r="C57" s="19" t="str">
        <x:v>Known future intent is indexed across major platform branches</x:v>
      </x:c>
      <x:c r="D57" s="19" t="str">
        <x:v>WORK_RESULT</x:v>
      </x:c>
      <x:c r="E57" s="19" t="str">
        <x:v>HIGH</x:v>
      </x:c>
      <x:c r="F57" s="19" t="str">
        <x:v>CONFIRMED</x:v>
      </x:c>
      <x:c r="G57" s="19" t="str">
        <x:v>HAPPY-KNOW-63</x:v>
      </x:c>
      <x:c r="H57" s="19" t="str">
        <x:v>AAI-DEC-0011; 0020</x:v>
      </x:c>
      <x:c r="I57" s="19" t="str">
        <x:v>Project-wide completeness not provable</x:v>
      </x:c>
    </x:row>
    <x:row r="58" ht="44" customHeight="1">
      <x:c r="A58" s="19" t="str">
        <x:v>AAI-EVD-0057</x:v>
      </x:c>
      <x:c r="B58" s="19" t="str">
        <x:v>AAI-SRC-0040</x:v>
      </x:c>
      <x:c r="C58" s="19" t="str">
        <x:v>Prompt/Wave history becomes non-orchestrating after cutover</x:v>
      </x:c>
      <x:c r="D58" s="19" t="str">
        <x:v>WORK_RESULT</x:v>
      </x:c>
      <x:c r="E58" s="19" t="str">
        <x:v>HIGH</x:v>
      </x:c>
      <x:c r="F58" s="19" t="str">
        <x:v>CONFIRMED</x:v>
      </x:c>
      <x:c r="G58" s="19" t="str">
        <x:v>HAPPY-KNOW-60; 29</x:v>
      </x:c>
      <x:c r="H58" s="19" t="str">
        <x:v>AAI-DEC-0021</x:v>
      </x:c>
      <x:c r="I58" s="19" t="str">
        <x:v>No Devin prompt created</x:v>
      </x:c>
    </x:row>
    <x:row r="59" ht="44" customHeight="1">
      <x:c r="A59" s="19" t="str">
        <x:v>AAI-EVD-0058</x:v>
      </x:c>
      <x:c r="B59" s="19" t="str">
        <x:v>AAI-SRC-0040</x:v>
      </x:c>
      <x:c r="C59" s="19" t="str">
        <x:v>HAPPY_HANDOFF_READY remains FALSE after documentary 3C</x:v>
      </x:c>
      <x:c r="D59" s="19" t="str">
        <x:v>WORK_RESULT</x:v>
      </x:c>
      <x:c r="E59" s="19" t="str">
        <x:v>HIGH</x:v>
      </x:c>
      <x:c r="F59" s="19" t="str">
        <x:v>CONFIRMED</x:v>
      </x:c>
      <x:c r="G59" s="19" t="str">
        <x:v>HAPPY-KNOW-61; 65; 66</x:v>
      </x:c>
      <x:c r="H59" s="19" t="str">
        <x:v>AAI-DEC-0023</x:v>
      </x:c>
      <x:c r="I59" s="19" t="str">
        <x:v>Runtime gates open</x:v>
      </x:c>
    </x:row>
    <x:row r="60" ht="44" customHeight="1">
      <x:c r="A60" s="19" t="str">
        <x:v>AAI-EVD-0059</x:v>
      </x:c>
      <x:c r="B60" s="19" t="str">
        <x:v>AAI-SRC-0042</x:v>
      </x:c>
      <x:c r="C60" s="19" t="str">
        <x:v>3D must assemble a compact portable Seed, not expand the platform</x:v>
      </x:c>
      <x:c r="D60" s="19" t="str">
        <x:v>USER_DIRECTIVE</x:v>
      </x:c>
      <x:c r="E60" s="19" t="str">
        <x:v>HIGH</x:v>
      </x:c>
      <x:c r="F60" s="19" t="str">
        <x:v>CONFIRMED</x:v>
      </x:c>
      <x:c r="G60" s="19" t="str">
        <x:v>HAPPY-KNOW-67..78</x:v>
      </x:c>
      <x:c r="H60" s="19" t="str">
        <x:v>AAI-DEC-0024</x:v>
      </x:c>
      <x:c r="I60" s="19" t="str">
        <x:v>Execution boundary</x:v>
      </x:c>
    </x:row>
    <x:row r="61" ht="44" customHeight="1">
      <x:c r="A61" s="19" t="str">
        <x:v>AAI-EVD-0060</x:v>
      </x:c>
      <x:c r="B61" s="19" t="str">
        <x:v>AAI-SRC-0043</x:v>
      </x:c>
      <x:c r="C61" s="19" t="str">
        <x:v>Spec disposition preserved 0001–0037 and created zero new Spec IDs</x:v>
      </x:c>
      <x:c r="D61" s="19" t="str">
        <x:v>STATIC_RESULT</x:v>
      </x:c>
      <x:c r="E61" s="19" t="str">
        <x:v>HIGH</x:v>
      </x:c>
      <x:c r="F61" s="19" t="str">
        <x:v>CONFIRMED</x:v>
      </x:c>
      <x:c r="G61" s="19" t="str">
        <x:v>HAPPY-KNOW-67</x:v>
      </x:c>
      <x:c r="H61" s="19" t="str">
        <x:v>AAI-DEC-0025</x:v>
      </x:c>
      <x:c r="I61" s="19" t="str">
        <x:v>No Spec explosion</x:v>
      </x:c>
    </x:row>
    <x:row r="62" ht="44" customHeight="1">
      <x:c r="A62" s="19" t="str">
        <x:v>AAI-EVD-0061</x:v>
      </x:c>
      <x:c r="B62" s="19" t="str">
        <x:v>AAI-SRC-0044</x:v>
      </x:c>
      <x:c r="C62" s="19" t="str">
        <x:v>Standards fit documented as RESEARCHED_NOT_ADOPTED with thin-layer gaps</x:v>
      </x:c>
      <x:c r="D62" s="19" t="str">
        <x:v>RESEARCH_RESULT</x:v>
      </x:c>
      <x:c r="E62" s="19" t="str">
        <x:v>HIGH</x:v>
      </x:c>
      <x:c r="F62" s="19" t="str">
        <x:v>CONFIRMED</x:v>
      </x:c>
      <x:c r="G62" s="19" t="str">
        <x:v>HAPPY-KNOW-68</x:v>
      </x:c>
      <x:c r="H62" s="19" t="str">
        <x:v>AAI-DEC-0025</x:v>
      </x:c>
      <x:c r="I62" s="19" t="str">
        <x:v>No institutional adoption inferred</x:v>
      </x:c>
    </x:row>
    <x:row r="63" ht="44" customHeight="1">
      <x:c r="A63" s="19" t="str">
        <x:v>AAI-EVD-0062</x:v>
      </x:c>
      <x:c r="B63" s="19" t="str">
        <x:v>AAI-SRC-0043</x:v>
      </x:c>
      <x:c r="C63" s="19" t="str">
        <x:v>Root Seed 0.9.0-assembly.1 contains required entry/navigation assets</x:v>
      </x:c>
      <x:c r="D63" s="19" t="str">
        <x:v>STATIC_RESULT</x:v>
      </x:c>
      <x:c r="E63" s="19" t="str">
        <x:v>HIGH</x:v>
      </x:c>
      <x:c r="F63" s="19" t="str">
        <x:v>CONFIRMED</x:v>
      </x:c>
      <x:c r="G63" s="19" t="str">
        <x:v>Seed root</x:v>
      </x:c>
      <x:c r="H63" s="19" t="str">
        <x:v>AAI-DEC-0024</x:v>
      </x:c>
      <x:c r="I63" s="19" t="str">
        <x:v>Not an accepted 1.0 release</x:v>
      </x:c>
    </x:row>
    <x:row r="64" ht="44" customHeight="1">
      <x:c r="A64" s="19" t="str">
        <x:v>AAI-EVD-0063</x:v>
      </x:c>
      <x:c r="B64" s="19" t="str">
        <x:v>AAI-SRC-0043</x:v>
      </x:c>
      <x:c r="C64" s="19" t="str">
        <x:v>Acceptance FX-A..J and escalation/expansion fixtures are prepared</x:v>
      </x:c>
      <x:c r="D64" s="19" t="str">
        <x:v>STATIC_RESULT</x:v>
      </x:c>
      <x:c r="E64" s="19" t="str">
        <x:v>HIGH</x:v>
      </x:c>
      <x:c r="F64" s="19" t="str">
        <x:v>CONFIRMED</x:v>
      </x:c>
      <x:c r="G64" s="19" t="str">
        <x:v>HAPPY-KNOW-70/71</x:v>
      </x:c>
      <x:c r="H64" s="19" t="str">
        <x:v>AAI-DEC-0023</x:v>
      </x:c>
      <x:c r="I64" s="19" t="str">
        <x:v>Not executed against Devin</x:v>
      </x:c>
    </x:row>
    <x:row r="65" ht="44" customHeight="1">
      <x:c r="A65" s="19" t="str">
        <x:v>AAI-EVD-0064</x:v>
      </x:c>
      <x:c r="B65" s="19" t="str">
        <x:v>AAI-SRC-0043</x:v>
      </x:c>
      <x:c r="C65" s="19" t="str">
        <x:v>Twenty ROs preserved and grouped into eight execution packages</x:v>
      </x:c>
      <x:c r="D65" s="19" t="str">
        <x:v>STATIC_RESULT</x:v>
      </x:c>
      <x:c r="E65" s="19" t="str">
        <x:v>HIGH</x:v>
      </x:c>
      <x:c r="F65" s="19" t="str">
        <x:v>CONFIRMED</x:v>
      </x:c>
      <x:c r="G65" s="19" t="str">
        <x:v>HAPPY-KNOW-72</x:v>
      </x:c>
      <x:c r="H65" s="19" t="str">
        <x:v>AAI-DEC-0008</x:v>
      </x:c>
      <x:c r="I65" s="19" t="str">
        <x:v>All remain open</x:v>
      </x:c>
    </x:row>
    <x:row r="66" ht="44" customHeight="1">
      <x:c r="A66" s="19" t="str">
        <x:v>AAI-EVD-0065</x:v>
      </x:c>
      <x:c r="B66" s="19" t="str">
        <x:v>AAI-SRC-0045</x:v>
      </x:c>
      <x:c r="C66" s="19" t="str">
        <x:v>Staging repository identity/access observed; SER-002 remains open</x:v>
      </x:c>
      <x:c r="D66" s="19" t="str">
        <x:v>CONNECTOR_OBSERVATION</x:v>
      </x:c>
      <x:c r="E66" s="19" t="str">
        <x:v>HIGH</x:v>
      </x:c>
      <x:c r="F66" s="19" t="str">
        <x:v>CONFIRMED</x:v>
      </x:c>
      <x:c r="G66" s="19" t="str">
        <x:v>SER-013; HAPPY-KNOW-72</x:v>
      </x:c>
      <x:c r="H66" s="19" t="str">
        <x:v>AAI-DEC-0022</x:v>
      </x:c>
      <x:c r="I66" s="19" t="str">
        <x:v>Transport is not implementation source</x:v>
      </x:c>
    </x:row>
    <x:row r="67" ht="44" customHeight="1">
      <x:c r="A67" s="19" t="str">
        <x:v>AAI-EVD-0066</x:v>
      </x:c>
      <x:c r="B67" s="19" t="str">
        <x:v>AAI-SRC-0043</x:v>
      </x:c>
      <x:c r="C67" s="19" t="str">
        <x:v>Seed-vs-post-handoff boundary prevents implementation explosion</x:v>
      </x:c>
      <x:c r="D67" s="19" t="str">
        <x:v>STATIC_RESULT</x:v>
      </x:c>
      <x:c r="E67" s="19" t="str">
        <x:v>HIGH</x:v>
      </x:c>
      <x:c r="F67" s="19" t="str">
        <x:v>CONFIRMED</x:v>
      </x:c>
      <x:c r="G67" s="19" t="str">
        <x:v>HAPPY-KNOW-73</x:v>
      </x:c>
      <x:c r="H67" s="19" t="str">
        <x:v>AAI-DEC-0020</x:v>
      </x:c>
      <x:c r="I67" s="19" t="str">
        <x:v>Devin expands after cutover</x:v>
      </x:c>
    </x:row>
    <x:row r="68" ht="44" customHeight="1">
      <x:c r="A68" s="19" t="str">
        <x:v>AAI-EVD-0067</x:v>
      </x:c>
      <x:c r="B68" s="19" t="str">
        <x:v>AAI-SRC-0043</x:v>
      </x:c>
      <x:c r="C68" s="19" t="str">
        <x:v>Package validator checks required assets, links, schemas, IDs and orphans</x:v>
      </x:c>
      <x:c r="D68" s="19" t="str">
        <x:v>STATIC_RESULT</x:v>
      </x:c>
      <x:c r="E68" s="19" t="str">
        <x:v>HIGH</x:v>
      </x:c>
      <x:c r="F68" s="19" t="str">
        <x:v>CONFIRMED</x:v>
      </x:c>
      <x:c r="G68" s="19" t="str">
        <x:v>HAPPY-KNOW-77</x:v>
      </x:c>
      <x:c r="H68" s="19" t="str">
        <x:v>AAI-DEC-0026</x:v>
      </x:c>
      <x:c r="I68" s="19" t="str">
        <x:v>Archive/hash receipt pending at script time</x:v>
      </x:c>
    </x:row>
    <x:row r="69" ht="44" customHeight="1">
      <x:c r="A69" s="19" t="str">
        <x:v>AAI-EVD-0068</x:v>
      </x:c>
      <x:c r="B69" s="19" t="str">
        <x:v>AAI-SRC-0043</x:v>
      </x:c>
      <x:c r="C69" s="19" t="str">
        <x:v>Handoff remains FALSE because G2/G3/G4/G5/G9/G10 are incomplete</x:v>
      </x:c>
      <x:c r="D69" s="19" t="str">
        <x:v>GATE_RESULT</x:v>
      </x:c>
      <x:c r="E69" s="19" t="str">
        <x:v>HIGH</x:v>
      </x:c>
      <x:c r="F69" s="19" t="str">
        <x:v>CONFIRMED</x:v>
      </x:c>
      <x:c r="G69" s="19" t="str">
        <x:v>HAPPY-KNOW-75/78</x:v>
      </x:c>
      <x:c r="H69" s="19" t="str">
        <x:v>AAI-DEC-0023</x:v>
      </x:c>
      <x:c r="I69" s="19" t="str">
        <x:v>No premature readiness</x:v>
      </x:c>
    </x:row>
    <x:row r="70" ht="48" customHeight="1">
      <x:c r="A70" s="19" t="str">
        <x:v>AAI-EVD-0069</x:v>
      </x:c>
      <x:c r="B70" s="19" t="str">
        <x:v>AAI-SRC-0046</x:v>
      </x:c>
      <x:c r="C70" s="19" t="str">
        <x:v>Visibility/discovery/platform knowledge do not transfer ownership or authority</x:v>
      </x:c>
      <x:c r="D70" s="19" t="str">
        <x:v>USER_DIRECTIVE + RECONCILED_RULE</x:v>
      </x:c>
      <x:c r="E70" s="19" t="str">
        <x:v>HIGH</x:v>
      </x:c>
      <x:c r="F70" s="19" t="str">
        <x:v>CONFIRMED</x:v>
      </x:c>
      <x:c r="G70" s="19" t="str">
        <x:v>HAPPY-KNOW-55/79</x:v>
      </x:c>
      <x:c r="H70" s="19" t="str">
        <x:v>AAI-DEC-0027</x:v>
      </x:c>
      <x:c r="I70" s="19" t="str">
        <x:v>Architecture AI boundary, not bank ownership instance</x:v>
      </x:c>
    </x:row>
    <x:row r="71" ht="48" customHeight="1">
      <x:c r="A71" s="19" t="str">
        <x:v>AAI-EVD-0070</x:v>
      </x:c>
      <x:c r="B71" s="19" t="str">
        <x:v>AAI-SRC-0046</x:v>
      </x:c>
      <x:c r="C71" s="19" t="str">
        <x:v>Domain evolution begins non-intrusively and preserves local variants pending evidence</x:v>
      </x:c>
      <x:c r="D71" s="19" t="str">
        <x:v>USER_DIRECTIVE</x:v>
      </x:c>
      <x:c r="E71" s="19" t="str">
        <x:v>HIGH</x:v>
      </x:c>
      <x:c r="F71" s="19" t="str">
        <x:v>CONFIRMED</x:v>
      </x:c>
      <x:c r="G71" s="19" t="str">
        <x:v>HAPPY-KNOW-79</x:v>
      </x:c>
      <x:c r="H71" s="19" t="str">
        <x:v>PD-006</x:v>
      </x:c>
      <x:c r="I71" s="19" t="str">
        <x:v>Target direction; runtime/source gated</x:v>
      </x:c>
    </x:row>
    <x:row r="72" ht="48" customHeight="1">
      <x:c r="A72" s="19" t="str">
        <x:v>AAI-EVD-0071</x:v>
      </x:c>
      <x:c r="B72" s="19" t="str">
        <x:v>AAI-SRC-0046/0048</x:v>
      </x:c>
      <x:c r="C72" s="19" t="str">
        <x:v>Deterministic maturity extends existing Least Agency and Harness models</x:v>
      </x:c>
      <x:c r="D72" s="19" t="str">
        <x:v>RECONCILIATION_RESULT</x:v>
      </x:c>
      <x:c r="E72" s="19" t="str">
        <x:v>HIGH</x:v>
      </x:c>
      <x:c r="F72" s="19" t="str">
        <x:v>CONFIRMED</x:v>
      </x:c>
      <x:c r="G72" s="19" t="str">
        <x:v>HAPPY-KNOW-55/58/79</x:v>
      </x:c>
      <x:c r="H72" s="19" t="str">
        <x:v>FD-006</x:v>
      </x:c>
      <x:c r="I72" s="19" t="str">
        <x:v>No automation readiness claimed</x:v>
      </x:c>
    </x:row>
    <x:row r="73" ht="48" customHeight="1">
      <x:c r="A73" s="19" t="str">
        <x:v>AAI-EVD-0072</x:v>
      </x:c>
      <x:c r="B73" s="19" t="str">
        <x:v>AAI-SRC-0046/0048</x:v>
      </x:c>
      <x:c r="C73" s="19" t="str">
        <x:v>Tree/Graph/Assurance/Loop composes existing models without selecting technology</x:v>
      </x:c>
      <x:c r="D73" s="19" t="str">
        <x:v>DERIVED_SYNTHESIS</x:v>
      </x:c>
      <x:c r="E73" s="19" t="str">
        <x:v>HIGH</x:v>
      </x:c>
      <x:c r="F73" s="19" t="str">
        <x:v>CONFIRMED</x:v>
      </x:c>
      <x:c r="G73" s="19" t="str">
        <x:v>HAPPY-KNOW-56/69/80</x:v>
      </x:c>
      <x:c r="H73" s="19" t="str">
        <x:v>AAI-DEC-0018/0025</x:v>
      </x:c>
      <x:c r="I73" s="19" t="str">
        <x:v>Graph ADR and standards remain open</x:v>
      </x:c>
    </x:row>
    <x:row r="74" ht="48" customHeight="1">
      <x:c r="A74" s="19" t="str">
        <x:v>AAI-EVD-0073</x:v>
      </x:c>
      <x:c r="B74" s="19" t="str">
        <x:v>AAI-SRC-0047</x:v>
      </x:c>
      <x:c r="C74" s="19" t="str">
        <x:v>3E introduced zero new AAI-SPEC IDs and extended existing capabilities/contracts</x:v>
      </x:c>
      <x:c r="D74" s="19" t="str">
        <x:v>STATIC_RESULT</x:v>
      </x:c>
      <x:c r="E74" s="19" t="str">
        <x:v>HIGH</x:v>
      </x:c>
      <x:c r="F74" s="19" t="str">
        <x:v>CONFIRMED</x:v>
      </x:c>
      <x:c r="G74" s="19" t="str">
        <x:v>HAPPY-KNOW-22/54/67/79</x:v>
      </x:c>
      <x:c r="H74" s="19" t="str">
        <x:v>AAI-DEC-0025</x:v>
      </x:c>
      <x:c r="I74" s="19" t="str">
        <x:v>No Spec explosion</x:v>
      </x:c>
    </x:row>
    <x:row r="75" ht="48" customHeight="1">
      <x:c r="A75" s="19" t="str">
        <x:v>AAI-EVD-0074</x:v>
      </x:c>
      <x:c r="B75" s="19" t="str">
        <x:v>AAI-SRC-0047</x:v>
      </x:c>
      <x:c r="C75" s="19" t="str">
        <x:v>EXP-3E-001..012 make post-handoff work root-discoverable</x:v>
      </x:c>
      <x:c r="D75" s="19" t="str">
        <x:v>STATIC_RESULT</x:v>
      </x:c>
      <x:c r="E75" s="19" t="str">
        <x:v>HIGH</x:v>
      </x:c>
      <x:c r="F75" s="19" t="str">
        <x:v>CONFIRMED</x:v>
      </x:c>
      <x:c r="G75" s="19" t="str">
        <x:v>HAPPY-KNOW-82; root asset</x:v>
      </x:c>
      <x:c r="H75" s="19" t="str">
        <x:v>AAI-DEC-0020/0024</x:v>
      </x:c>
      <x:c r="I75" s="19" t="str">
        <x:v>Not executed by Devin</x:v>
      </x:c>
    </x:row>
    <x:row r="76" ht="48" customHeight="1">
      <x:c r="A76" s="19" t="str">
        <x:v>AAI-EVD-0075</x:v>
      </x:c>
      <x:c r="B76" s="19" t="str">
        <x:v>AAI-SRC-0049</x:v>
      </x:c>
      <x:c r="C76" s="19" t="str">
        <x:v>No observable canonical JavaFizz/SpecFizz definition exists in current corpus</x:v>
      </x:c>
      <x:c r="D76" s="19" t="str">
        <x:v>SOURCE_SEARCH_RESULT</x:v>
      </x:c>
      <x:c r="E76" s="19" t="str">
        <x:v>HIGH</x:v>
      </x:c>
      <x:c r="F76" s="19" t="str">
        <x:v>CONFIRMED</x:v>
      </x:c>
      <x:c r="G76" s="19" t="str">
        <x:v>HK-GAP-0053; Q-0051</x:v>
      </x:c>
      <x:c r="H76" s="19" t="str"/>
      <x:c r="I76" s="19" t="str">
        <x:v>Existing explicit principles remain authority</x:v>
      </x:c>
    </x:row>
    <x:row r="77" ht="48" customHeight="1">
      <x:c r="A77" s="19" t="str">
        <x:v>AAI-EVD-0076</x:v>
      </x:c>
      <x:c r="B77" s="19" t="str">
        <x:v>AAI-SRC-0047</x:v>
      </x:c>
      <x:c r="C77" s="19" t="str">
        <x:v>Observed 3E known intent is fully mapped while project-wide no-loss remains unproven</x:v>
      </x:c>
      <x:c r="D77" s="19" t="str">
        <x:v>NO_LOSS_RESULT</x:v>
      </x:c>
      <x:c r="E77" s="19" t="str">
        <x:v>HIGH</x:v>
      </x:c>
      <x:c r="F77" s="19" t="str">
        <x:v>CONFIRMED</x:v>
      </x:c>
      <x:c r="G77" s="19" t="str">
        <x:v>HAPPY-KNOW-44/63/81</x:v>
      </x:c>
      <x:c r="H77" s="19" t="str">
        <x:v>AAI-DEC-0013/0023</x:v>
      </x:c>
      <x:c r="I77" s="19" t="str">
        <x:v>SER-001/011/012 remain</x:v>
      </x:c>
    </x:row>
    <x:row r="78" ht="48" customHeight="1">
      <x:c r="A78" s="19" t="str">
        <x:v>AAI-EVD-0077</x:v>
      </x:c>
      <x:c r="B78" s="19" t="str">
        <x:v>AAI-SRC-0047</x:v>
      </x:c>
      <x:c r="C78" s="19" t="str">
        <x:v>FX-K and TST-0056..0064 are designed but not executed</x:v>
      </x:c>
      <x:c r="D78" s="19" t="str">
        <x:v>TEST_DESIGN_RESULT</x:v>
      </x:c>
      <x:c r="E78" s="19" t="str">
        <x:v>HIGH</x:v>
      </x:c>
      <x:c r="F78" s="19" t="str">
        <x:v>CONFIRMED</x:v>
      </x:c>
      <x:c r="G78" s="19" t="str">
        <x:v>HAPPY-KNOW-28/81</x:v>
      </x:c>
      <x:c r="H78" s="19" t="str">
        <x:v>AAI-DEC-0023</x:v>
      </x:c>
      <x:c r="I78" s="19" t="str">
        <x:v>No gate elevation</x:v>
      </x:c>
    </x:row>
    <x:row r="79" ht="48" customHeight="1">
      <x:c r="A79" s="19" t="str">
        <x:v>AAI-EVD-0078</x:v>
      </x:c>
      <x:c r="B79" s="19" t="str">
        <x:v>AAI-SRC-0047</x:v>
      </x:c>
      <x:c r="C79" s="19" t="str">
        <x:v>G1..G12 statuses remain evidence-based; readiness stays FALSE</x:v>
      </x:c>
      <x:c r="D79" s="19" t="str">
        <x:v>GATE_RESULT</x:v>
      </x:c>
      <x:c r="E79" s="19" t="str">
        <x:v>HIGH</x:v>
      </x:c>
      <x:c r="F79" s="19" t="str">
        <x:v>CONFIRMED</x:v>
      </x:c>
      <x:c r="G79" s="19" t="str">
        <x:v>HAPPY-KNOW-75/84/85</x:v>
      </x:c>
      <x:c r="H79" s="19" t="str">
        <x:v>AAI-DEC-0023</x:v>
      </x:c>
      <x:c r="I79" s="19" t="str">
        <x:v>G2/3/4/5/9/10 incomplete</x:v>
      </x:c>
    </x:row>
    <x:row r="80" ht="50" customHeight="1">
      <x:c r="A80" s="19" t="str">
        <x:v>AAI-EVD-0079</x:v>
      </x:c>
      <x:c r="B80" s="19" t="str">
        <x:v>AAI-SRC-0050</x:v>
      </x:c>
      <x:c r="C80" s="19" t="str">
        <x:v>0.9.0-assembly.2 input snapshot and hashes were inspected and preserved</x:v>
      </x:c>
      <x:c r="D80" s="19" t="str">
        <x:v>INPUT_STATE_VERIFICATION</x:v>
      </x:c>
      <x:c r="E80" s="19" t="str">
        <x:v>HIGH</x:v>
      </x:c>
      <x:c r="F80" s="19" t="str">
        <x:v>CONFIRMED</x:v>
      </x:c>
      <x:c r="G80" s="19" t="str">
        <x:v>HAPPY-KNOW-86</x:v>
      </x:c>
      <x:c r="H80" s="19" t="str">
        <x:v>AAI-DEC-0026</x:v>
      </x:c>
      <x:c r="I80" s="19" t="str">
        <x:v>No overwrite</x:v>
      </x:c>
    </x:row>
    <x:row r="81" ht="50" customHeight="1">
      <x:c r="A81" s="19" t="str">
        <x:v>AAI-EVD-0080</x:v>
      </x:c>
      <x:c r="B81" s="19" t="str">
        <x:v>AAI-SRC-0050/0051</x:v>
      </x:c>
      <x:c r="C81" s="19" t="str">
        <x:v>Post-3E refinements map to existing models/Specs; zero new Spec IDs</x:v>
      </x:c>
      <x:c r="D81" s="19" t="str">
        <x:v>RECONCILIATION_RESULT</x:v>
      </x:c>
      <x:c r="E81" s="19" t="str">
        <x:v>HIGH</x:v>
      </x:c>
      <x:c r="F81" s="19" t="str">
        <x:v>CONFIRMED</x:v>
      </x:c>
      <x:c r="G81" s="19" t="str">
        <x:v>HAPPY-KNOW-22/44/86</x:v>
      </x:c>
      <x:c r="H81" s="19" t="str">
        <x:v>AAI-DEC-0025</x:v>
      </x:c>
      <x:c r="I81" s="19" t="str">
        <x:v>No Spec explosion</x:v>
      </x:c>
    </x:row>
    <x:row r="82" ht="50" customHeight="1">
      <x:c r="A82" s="19" t="str">
        <x:v>AAI-EVD-0081</x:v>
      </x:c>
      <x:c r="B82" s="19" t="str">
        <x:v>AAI-SRC-0050/0051</x:v>
      </x:c>
      <x:c r="C82" s="19" t="str">
        <x:v>One governed model can project multiple audiences without changing canonical truth</x:v>
      </x:c>
      <x:c r="D82" s="19" t="str">
        <x:v>DESIGN_CORRELATION</x:v>
      </x:c>
      <x:c r="E82" s="19" t="str">
        <x:v>HIGH</x:v>
      </x:c>
      <x:c r="F82" s="19" t="str">
        <x:v>CONFIRMED</x:v>
      </x:c>
      <x:c r="G82" s="19" t="str">
        <x:v>HAPPY-KNOW-56/69/70</x:v>
      </x:c>
      <x:c r="H82" s="19" t="str">
        <x:v>AAI-DEC-0003/0027</x:v>
      </x:c>
      <x:c r="I82" s="19" t="str">
        <x:v>FX-L not executed</x:v>
      </x:c>
    </x:row>
    <x:row r="83" ht="50" customHeight="1">
      <x:c r="A83" s="19" t="str">
        <x:v>AAI-EVD-0082</x:v>
      </x:c>
      <x:c r="B83" s="19" t="str">
        <x:v>AAI-SRC-0050/0051</x:v>
      </x:c>
      <x:c r="C83" s="19" t="str">
        <x:v>LLM cannot self-certify; deterministic evidence precedes material promotion where possible</x:v>
      </x:c>
      <x:c r="D83" s="19" t="str">
        <x:v>CANONICAL_RULE_EXTENSION</x:v>
      </x:c>
      <x:c r="E83" s="19" t="str">
        <x:v>HIGH</x:v>
      </x:c>
      <x:c r="F83" s="19" t="str">
        <x:v>CONFIRMED</x:v>
      </x:c>
      <x:c r="G83" s="19" t="str">
        <x:v>DNA-CAN-009; HAPPY-KNOW-75</x:v>
      </x:c>
      <x:c r="H83" s="19" t="str">
        <x:v>AAI-DEC-0009/0013</x:v>
      </x:c>
      <x:c r="I83" s="19" t="str">
        <x:v>Runtime enforcement unverified</x:v>
      </x:c>
    </x:row>
    <x:row r="84" ht="50" customHeight="1">
      <x:c r="A84" s="19" t="str">
        <x:v>AAI-EVD-0083</x:v>
      </x:c>
      <x:c r="B84" s="19" t="str">
        <x:v>AAI-SRC-0051</x:v>
      </x:c>
      <x:c r="C84" s="19" t="str">
        <x:v>FX-L..P and TST-0065..0074 are designed and source-linked</x:v>
      </x:c>
      <x:c r="D84" s="19" t="str">
        <x:v>STATIC_RESULT</x:v>
      </x:c>
      <x:c r="E84" s="19" t="str">
        <x:v>HIGH</x:v>
      </x:c>
      <x:c r="F84" s="19" t="str">
        <x:v>CONFIRMED</x:v>
      </x:c>
      <x:c r="G84" s="19" t="str">
        <x:v>HAPPY-KNOW-28/70/86</x:v>
      </x:c>
      <x:c r="H84" s="19" t="str">
        <x:v>AAI-DEC-0023</x:v>
      </x:c>
      <x:c r="I84" s="19" t="str">
        <x:v>No fixture execution</x:v>
      </x:c>
    </x:row>
    <x:row r="85" ht="50" customHeight="1">
      <x:c r="A85" s="19" t="str">
        <x:v>AAI-EVD-0084</x:v>
      </x:c>
      <x:c r="B85" s="19" t="str">
        <x:v>AAI-SRC-0051</x:v>
      </x:c>
      <x:c r="C85" s="19" t="str">
        <x:v>SER-002→SER-003→SER-006 is the source recovery order</x:v>
      </x:c>
      <x:c r="D85" s="19" t="str">
        <x:v>RECONCILIATION_RESULT</x:v>
      </x:c>
      <x:c r="E85" s="19" t="str">
        <x:v>HIGH</x:v>
      </x:c>
      <x:c r="F85" s="19" t="str">
        <x:v>CONFIRMED</x:v>
      </x:c>
      <x:c r="G85" s="19" t="str">
        <x:v>HAPPY-KNOW-43/71/86</x:v>
      </x:c>
      <x:c r="H85" s="19" t="str">
        <x:v>AAI-DEC-0013</x:v>
      </x:c>
      <x:c r="I85" s="19" t="str">
        <x:v>All remain open</x:v>
      </x:c>
    </x:row>
    <x:row r="86" ht="50" customHeight="1">
      <x:c r="A86" s="19" t="str">
        <x:v>AAI-EVD-0085</x:v>
      </x:c>
      <x:c r="B86" s="19" t="str">
        <x:v>AAI-SRC-0051</x:v>
      </x:c>
      <x:c r="C86" s="19" t="str">
        <x:v>RO-ACCEPT-001 precommits toolchain fit criteria; no framework adopted</x:v>
      </x:c>
      <x:c r="D86" s="19" t="str">
        <x:v>RESEARCH_CONTROL_RESULT</x:v>
      </x:c>
      <x:c r="E86" s="19" t="str">
        <x:v>HIGH</x:v>
      </x:c>
      <x:c r="F86" s="19" t="str">
        <x:v>CONFIRMED</x:v>
      </x:c>
      <x:c r="G86" s="19" t="str">
        <x:v>HAPPY-KNOW-62/72/75</x:v>
      </x:c>
      <x:c r="H86" s="19" t="str">
        <x:v>AAI-DEC-0008/0025</x:v>
      </x:c>
      <x:c r="I86" s="19" t="str">
        <x:v>Research not executed</x:v>
      </x:c>
    </x:row>
    <x:row r="87" ht="50" customHeight="1">
      <x:c r="A87" s="19" t="str">
        <x:v>AAI-EVD-0086</x:v>
      </x:c>
      <x:c r="B87" s="19" t="str">
        <x:v>AAI-SRC-0051</x:v>
      </x:c>
      <x:c r="C87" s="19" t="str">
        <x:v>Executable Frontier is a descriptive view over existing eligibility/dependencies</x:v>
      </x:c>
      <x:c r="D87" s="19" t="str">
        <x:v>DESIGN_CORRELATION</x:v>
      </x:c>
      <x:c r="E87" s="19" t="str">
        <x:v>HIGH</x:v>
      </x:c>
      <x:c r="F87" s="19" t="str">
        <x:v>CONFIRMED</x:v>
      </x:c>
      <x:c r="G87" s="19" t="str">
        <x:v>HAPPY-KNOW-57/70/86</x:v>
      </x:c>
      <x:c r="H87" s="19" t="str">
        <x:v>AAI-DEC-0015/0020</x:v>
      </x:c>
      <x:c r="I87" s="19" t="str">
        <x:v>Runtime not executed</x:v>
      </x:c>
    </x:row>
    <x:row r="88" ht="50" customHeight="1">
      <x:c r="A88" s="19" t="str">
        <x:v>AAI-EVD-0087</x:v>
      </x:c>
      <x:c r="B88" s="19" t="str">
        <x:v>AAI-SRC-0051</x:v>
      </x:c>
      <x:c r="C88" s="19" t="str">
        <x:v>G1–G12 states were preserved; no documentary promotion</x:v>
      </x:c>
      <x:c r="D88" s="19" t="str">
        <x:v>GATE_REASSESSMENT</x:v>
      </x:c>
      <x:c r="E88" s="19" t="str">
        <x:v>HIGH</x:v>
      </x:c>
      <x:c r="F88" s="19" t="str">
        <x:v>CONFIRMED</x:v>
      </x:c>
      <x:c r="G88" s="19" t="str">
        <x:v>HAPPY-KNOW-61/75/86</x:v>
      </x:c>
      <x:c r="H88" s="19" t="str">
        <x:v>AAI-DEC-0023</x:v>
      </x:c>
      <x:c r="I88" s="19" t="str">
        <x:v>G4 blocked; G10 not executed</x:v>
      </x:c>
    </x:row>
    <x:row r="89" ht="50" customHeight="1">
      <x:c r="A89" s="19" t="str">
        <x:v>AAI-EVD-0088</x:v>
      </x:c>
      <x:c r="B89" s="19" t="str">
        <x:v>AAI-SRC-0052</x:v>
      </x:c>
      <x:c r="C89" s="19" t="str">
        <x:v>Acceptance-prep package/root/inventory/hash/ZIP validated locally: 186 package files / 183 governed files</x:v>
      </x:c>
      <x:c r="D89" s="19" t="str">
        <x:v>PACKAGE_VALIDATION</x:v>
      </x:c>
      <x:c r="E89" s="19" t="str">
        <x:v>HIGH</x:v>
      </x:c>
      <x:c r="F89" s="19" t="str">
        <x:v>CONFIRMED</x:v>
      </x:c>
      <x:c r="G89" s="19" t="str">
        <x:v>HAPPY-KNOW-86; root manifest</x:v>
      </x:c>
      <x:c r="H89" s="19" t="str">
        <x:v>AAI-DEC-0026</x:v>
      </x:c>
      <x:c r="I89" s="19" t="str">
        <x:v>Local G11 only; not bootstrap/runtime acceptance</x:v>
      </x:c>
    </x:row>
    <x:row r="90" ht="50" customHeight="1">
      <x:c r="A90" s="19" t="str">
        <x:v>AAI-EVD-0089</x:v>
      </x:c>
      <x:c r="B90" s="19" t="str">
        <x:v>AAI-SRC-0053</x:v>
      </x:c>
      <x:c r="C90" s="19" t="str">
        <x:v>Capability/access/authority/readiness/adoption states are explicitly separated</x:v>
      </x:c>
      <x:c r="D90" s="19" t="str">
        <x:v>RECONCILIATION_RESULT</x:v>
      </x:c>
      <x:c r="E90" s="19" t="str">
        <x:v>HIGH</x:v>
      </x:c>
      <x:c r="F90" s="19" t="str">
        <x:v>CONFIRMED</x:v>
      </x:c>
      <x:c r="G90" s="19" t="str">
        <x:v>DNA-CAN-018; FX-Q/S</x:v>
      </x:c>
      <x:c r="H90" s="19" t="str">
        <x:v>AAI-DEC-0009/0027</x:v>
      </x:c>
      <x:c r="I90" s="19" t="str">
        <x:v>Runtime enforcement unverified</x:v>
      </x:c>
    </x:row>
    <x:row r="91" ht="50" customHeight="1">
      <x:c r="A91" s="19" t="str">
        <x:v>AAI-EVD-0090</x:v>
      </x:c>
      <x:c r="B91" s="19" t="str">
        <x:v>AAI-SRC-0053</x:v>
      </x:c>
      <x:c r="C91" s="19" t="str">
        <x:v>Environment and institutional delivery discovery extend existing capabilities without topology/product claims</x:v>
      </x:c>
      <x:c r="D91" s="19" t="str">
        <x:v>DESIGN_CORRELATION</x:v>
      </x:c>
      <x:c r="E91" s="19" t="str">
        <x:v>HIGH</x:v>
      </x:c>
      <x:c r="F91" s="19" t="str">
        <x:v>CONFIRMED</x:v>
      </x:c>
      <x:c r="G91" s="19" t="str">
        <x:v>CAP-3C-009/010/019; EXP-ACCEPT-004</x:v>
      </x:c>
      <x:c r="H91" s="19" t="str">
        <x:v>AAI-DEC-0008/0027</x:v>
      </x:c>
      <x:c r="I91" s="19" t="str">
        <x:v>Blocked by sources</x:v>
      </x:c>
    </x:row>
    <x:row r="92" ht="50" customHeight="1">
      <x:c r="A92" s="19" t="str">
        <x:v>AAI-EVD-0091</x:v>
      </x:c>
      <x:c r="B92" s="19" t="str">
        <x:v>AAI-SRC-0053</x:v>
      </x:c>
      <x:c r="C92" s="19" t="str">
        <x:v>Cross-environment assurance requires authorized same-fixture evidence and expected variance</x:v>
      </x:c>
      <x:c r="D92" s="19" t="str">
        <x:v>DESIGN_CORRELATION</x:v>
      </x:c>
      <x:c r="E92" s="19" t="str">
        <x:v>HIGH</x:v>
      </x:c>
      <x:c r="F92" s="19" t="str">
        <x:v>CONFIRMED</x:v>
      </x:c>
      <x:c r="G92" s="19" t="str">
        <x:v>FX-R; TST-0077</x:v>
      </x:c>
      <x:c r="H92" s="19" t="str">
        <x:v>AAI-DEC-0009/0019</x:v>
      </x:c>
      <x:c r="I92" s="19" t="str">
        <x:v>Not executed</x:v>
      </x:c>
    </x:row>
    <x:row r="93" ht="50" customHeight="1">
      <x:c r="A93" s="19" t="str">
        <x:v>AAI-EVD-0092</x:v>
      </x:c>
      <x:c r="B93" s="19" t="str">
        <x:v>AAI-SRC-0053</x:v>
      </x:c>
      <x:c r="C93" s="19" t="str">
        <x:v>Adoption readiness is profile-specific Claim/Argument/Evidence</x:v>
      </x:c>
      <x:c r="D93" s="19" t="str">
        <x:v>DESIGN_CORRELATION</x:v>
      </x:c>
      <x:c r="E93" s="19" t="str">
        <x:v>HIGH</x:v>
      </x:c>
      <x:c r="F93" s="19" t="str">
        <x:v>CONFIRMED</x:v>
      </x:c>
      <x:c r="G93" s="19" t="str">
        <x:v>DNA-DER-016; FX-S</x:v>
      </x:c>
      <x:c r="H93" s="19" t="str">
        <x:v>AAI-DEC-0013/0027</x:v>
      </x:c>
      <x:c r="I93" s="19" t="str">
        <x:v>No profile executed</x:v>
      </x:c>
    </x:row>
    <x:row r="94" ht="50" customHeight="1">
      <x:c r="A94" s="19" t="str">
        <x:v>AAI-EVD-0093</x:v>
      </x:c>
      <x:c r="B94" s="19" t="str">
        <x:v>AAI-SRC-0053</x:v>
      </x:c>
      <x:c r="C94" s="19" t="str">
        <x:v>Multi-architect allocation derives from Work Graph; N architects does not imply N agents</x:v>
      </x:c>
      <x:c r="D94" s="19" t="str">
        <x:v>DESIGN_CORRELATION</x:v>
      </x:c>
      <x:c r="E94" s="19" t="str">
        <x:v>HIGH</x:v>
      </x:c>
      <x:c r="F94" s="19" t="str">
        <x:v>CONFIRMED</x:v>
      </x:c>
      <x:c r="G94" s="19" t="str">
        <x:v>FX-T; EXP-ACCEPT-007</x:v>
      </x:c>
      <x:c r="H94" s="19" t="str">
        <x:v>AAI-DEC-0015/0027</x:v>
      </x:c>
      <x:c r="I94" s="19" t="str">
        <x:v>Actual resources unobserved</x:v>
      </x:c>
    </x:row>
    <x:row r="95" ht="50" customHeight="1">
      <x:c r="A95" s="19" t="str">
        <x:v>AAI-EVD-0094</x:v>
      </x:c>
      <x:c r="B95" s="19" t="str">
        <x:v>AAI-SRC-0053</x:v>
      </x:c>
      <x:c r="C95" s="19" t="str">
        <x:v>Known future remains visible while current target/frontier controls active work</x:v>
      </x:c>
      <x:c r="D95" s="19" t="str">
        <x:v>DESIGN_CORRELATION</x:v>
      </x:c>
      <x:c r="E95" s="19" t="str">
        <x:v>HIGH</x:v>
      </x:c>
      <x:c r="F95" s="19" t="str">
        <x:v>CONFIRMED</x:v>
      </x:c>
      <x:c r="G95" s="19" t="str">
        <x:v>HAPPY-KNOW-57/58</x:v>
      </x:c>
      <x:c r="H95" s="19" t="str">
        <x:v>AAI-DEC-0011/0020</x:v>
      </x:c>
      <x:c r="I95" s="19" t="str">
        <x:v>Planner unexecuted</x:v>
      </x:c>
    </x:row>
    <x:row r="96" ht="50" customHeight="1">
      <x:c r="A96" s="19" t="str">
        <x:v>AAI-EVD-0095</x:v>
      </x:c>
      <x:c r="B96" s="19" t="str">
        <x:v>AAI-SRC-0053</x:v>
      </x:c>
      <x:c r="C96" s="19" t="str">
        <x:v>Resume created zero Specs and zero Research Obligations; deep work delegated via EXP-ACCEPT-004..009</x:v>
      </x:c>
      <x:c r="D96" s="19" t="str">
        <x:v>RECONCILIATION_RESULT</x:v>
      </x:c>
      <x:c r="E96" s="19" t="str">
        <x:v>HIGH</x:v>
      </x:c>
      <x:c r="F96" s="19" t="str">
        <x:v>CONFIRMED</x:v>
      </x:c>
      <x:c r="G96" s="19" t="str">
        <x:v>HAPPY-KNOW-22/44/82/86</x:v>
      </x:c>
      <x:c r="H96" s="19" t="str">
        <x:v>AAI-DEC-0025</x:v>
      </x:c>
      <x:c r="I96" s="19" t="str">
        <x:v>No conceptual wave reopened</x:v>
      </x:c>
    </x:row>
    <x:row r="97" ht="50" customHeight="1">
      <x:c r="A97" s="19" t="str">
        <x:v>AAI-EVD-0096</x:v>
      </x:c>
      <x:c r="B97" s="19" t="str">
        <x:v>AAI-SRC-0053</x:v>
      </x:c>
      <x:c r="C97" s="19" t="str">
        <x:v>G1..G12 states remain unchanged pending execution/source evidence</x:v>
      </x:c>
      <x:c r="D97" s="19" t="str">
        <x:v>GATE_REASSESSMENT</x:v>
      </x:c>
      <x:c r="E97" s="19" t="str">
        <x:v>HIGH</x:v>
      </x:c>
      <x:c r="F97" s="19" t="str">
        <x:v>CONFIRMED</x:v>
      </x:c>
      <x:c r="G97" s="19" t="str">
        <x:v>HAPPY-KNOW-61/75/86</x:v>
      </x:c>
      <x:c r="H97" s="19" t="str">
        <x:v>AAI-DEC-0023</x:v>
      </x:c>
      <x:c r="I97" s="19" t="str">
        <x:v>G4 blocked; G10 not executed</x:v>
      </x:c>
    </x:row>
    <x:row r="98" ht="50" customHeight="1">
      <x:c r="A98" s="19" t="str">
        <x:v>AAI-EVD-0097</x:v>
      </x:c>
      <x:c r="B98" s="19" t="str">
        <x:v>AAI-SRC-0054</x:v>
      </x:c>
      <x:c r="C98" s="19" t="str">
        <x:v>Handoff readiness and build readiness are independent governed Claims</x:v>
      </x:c>
      <x:c r="D98" s="19" t="str">
        <x:v>DECISION_EVIDENCE</x:v>
      </x:c>
      <x:c r="E98" s="19" t="str">
        <x:v>HIGH</x:v>
      </x:c>
      <x:c r="F98" s="19" t="str">
        <x:v>CONFIRMED</x:v>
      </x:c>
      <x:c r="G98" s="19" t="str">
        <x:v>HAPPY-KNOW-87</x:v>
      </x:c>
      <x:c r="H98" s="19" t="str">
        <x:v>AAI-DEC-0028</x:v>
      </x:c>
      <x:c r="I98" s="19" t="str">
        <x:v>No gate state rewritten</x:v>
      </x:c>
    </x:row>
    <x:row r="99" ht="50" customHeight="1">
      <x:c r="A99" s="19" t="str">
        <x:v>AAI-EVD-0098</x:v>
      </x:c>
      <x:c r="B99" s="19" t="str">
        <x:v>AAI-SRC-0054</x:v>
      </x:c>
      <x:c r="C99" s="19" t="str">
        <x:v>SER-002/003/006 each have a machine-readable receipt contract and same-commit invariant</x:v>
      </x:c>
      <x:c r="D99" s="19" t="str">
        <x:v>CONTRACT_VALIDATION</x:v>
      </x:c>
      <x:c r="E99" s="19" t="str">
        <x:v>HIGH</x:v>
      </x:c>
      <x:c r="F99" s="19" t="str">
        <x:v>CONFIRMED</x:v>
      </x:c>
      <x:c r="G99" s="19" t="str">
        <x:v>HAPPY-KNOW-43/88; schemas</x:v>
      </x:c>
      <x:c r="H99" s="19" t="str">
        <x:v>AAI-DEC-0028</x:v>
      </x:c>
      <x:c r="I99" s="19" t="str">
        <x:v>Execution deferred</x:v>
      </x:c>
    </x:row>
    <x:row r="100" ht="50" customHeight="1">
      <x:c r="A100" s="19" t="str">
        <x:v>AAI-EVD-0099</x:v>
      </x:c>
      <x:c r="B100" s="19" t="str">
        <x:v>AAI-SRC-0054</x:v>
      </x:c>
      <x:c r="C100" s="19" t="str">
        <x:v>Observed known intent is sufficient for handoff; unobserved sources remain explicit</x:v>
      </x:c>
      <x:c r="D100" s="19" t="str">
        <x:v>NO_LOSS_RESULT</x:v>
      </x:c>
      <x:c r="E100" s="19" t="str">
        <x:v>HIGH</x:v>
      </x:c>
      <x:c r="F100" s="19" t="str">
        <x:v>CONFIRMED</x:v>
      </x:c>
      <x:c r="G100" s="19" t="str">
        <x:v>HAPPY-KNOW-63/87</x:v>
      </x:c>
      <x:c r="H100" s="19" t="str">
        <x:v>AAI-DEC-0028</x:v>
      </x:c>
      <x:c r="I100" s="19" t="str">
        <x:v>Not project-wide completeness</x:v>
      </x:c>
    </x:row>
    <x:row r="101" ht="50" customHeight="1">
      <x:c r="A101" s="19" t="str">
        <x:v>AAI-EVD-0100</x:v>
      </x:c>
      <x:c r="B101" s="19" t="str">
        <x:v>AAI-SRC-0055</x:v>
      </x:c>
      <x:c r="C101" s="19" t="str">
        <x:v>Final Seed package passed deterministic local validation and ZIP integrity</x:v>
      </x:c>
      <x:c r="D101" s="19" t="str">
        <x:v>PACKAGE_VALIDATION</x:v>
      </x:c>
      <x:c r="E101" s="19" t="str">
        <x:v>HIGH</x:v>
      </x:c>
      <x:c r="F101" s="19" t="str">
        <x:v>CONFIRMED</x:v>
      </x:c>
      <x:c r="G101" s="19" t="str">
        <x:v>HAPPY-KNOW-89; final validation JSON</x:v>
      </x:c>
      <x:c r="H101" s="19" t="str">
        <x:v>AAI-DEC-0026/0028</x:v>
      </x:c>
      <x:c r="I101" s="19" t="str">
        <x:v>Not runtime acceptance</x:v>
      </x:c>
    </x:row>
  </x:sheetData>
  <x:dataValidations count="3">
    <x:dataValidation type="list" sqref="D2:D500">
      <x:formula1>"CONFIRMED_FACT,REQUIREMENT,FROZEN_DECISION,CURRENT_DIRECTION,ASSUMPTION,HYPOTHESIS,RESEARCH_FINDING,IMPLEMENTATION_STATUS,WORK_RESULT,REJECTED_ALTERNATIVE,CONSTRAINT,RISK,OPEN_QUESTION,FUTURE_DIRECTION,OUT_OF_SCOPE,SUPERSEDED"</x:formula1>
    </x:dataValidation>
    <x:dataValidation type="list" sqref="D2:D600">
      <x:formula1>"CONFIRMED_FACT,REQUIREMENT,FROZEN_DECISION,CURRENT_DIRECTION,PROPOSAL,ASSUMPTION,HYPOTHESIS,RESEARCH_FINDING,IMPLEMENTATION_STATUS,WORK_RESULT,REJECTED_ALTERNATIVE,CONSTRAINT,RISK,OPEN_QUESTION,FUTURE_DIRECTION,OUT_OF_SCOPE,SUPERSEDED"</x:formula1>
    </x:dataValidation>
    <x:dataValidation type="list" sqref="D2:D700">
      <x:formula1>"CONFIRMED_FACT,REQUIREMENT,FROZEN_DECISION,CURRENT_DIRECTION,PROPOSAL,ASSUMPTION,HYPOTHESIS,RESEARCH_FINDING,IMPLEMENTATION_STATUS,WORK_RESULT,REJECTED_ALTERNATIVE,CONSTRAINT,RISK,OPEN_QUESTION,FUTURE_DIRECTION,OUT_OF_SCOPE,SUPERSEDED"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24" hidden="0" customWidth="1"/>
    <x:col min="5" max="5" width="18" hidden="0" customWidth="1"/>
    <x:col min="6" max="6" width="28" hidden="0" customWidth="1"/>
    <x:col min="7" max="7" width="28" hidden="0" customWidth="1"/>
    <x:col min="8" max="8" width="48" hidden="0" customWidth="1"/>
    <x:col min="9" max="9" width="48" hidden="0" customWidth="1"/>
  </x:cols>
  <x:sheetData>
    <x:row r="1">
      <x:c r="A1" s="5" t="str">
        <x:v>Decision ID</x:v>
      </x:c>
      <x:c r="B1" s="5" t="str">
        <x:v>Title</x:v>
      </x:c>
      <x:c r="C1" s="5" t="str">
        <x:v>Classification</x:v>
      </x:c>
      <x:c r="D1" s="5" t="str">
        <x:v>Status</x:v>
      </x:c>
      <x:c r="E1" s="5" t="str">
        <x:v>Owner</x:v>
      </x:c>
      <x:c r="F1" s="5" t="str">
        <x:v>Evidence IDs</x:v>
      </x:c>
      <x:c r="G1" s="5" t="str">
        <x:v>ADR</x:v>
      </x:c>
      <x:c r="H1" s="5" t="str">
        <x:v>Decision</x:v>
      </x:c>
      <x:c r="I1" s="5" t="str">
        <x:v>Open action</x:v>
      </x:c>
    </x:row>
    <x:row r="2">
      <x:c r="A2" s="18" t="str">
        <x:v>AAI-DEC-0001</x:v>
      </x:c>
      <x:c r="B2" s="18" t="str">
        <x:v>Boundary Devin vs Architecture AI</x:v>
      </x:c>
      <x:c r="C2" s="18" t="str">
        <x:v>FROZEN_DECISION</x:v>
      </x:c>
      <x:c r="D2" s="18" t="str">
        <x:v>APPROVED</x:v>
      </x:c>
      <x:c r="E2" s="18" t="str">
        <x:v>Architecture</x:v>
      </x:c>
      <x:c r="F2" s="18" t="str">
        <x:v>AAI-EVD-0001</x:v>
      </x:c>
      <x:c r="G2" s="18" t="str">
        <x:v>AAI-ADR-0001</x:v>
      </x:c>
      <x:c r="H2" s="18" t="str">
        <x:v>Devin general intelligence; Architecture AI institutional intelligence</x:v>
      </x:c>
      <x:c r="I2" s="18" t="str">
        <x:v>Preserve boundary</x:v>
      </x:c>
    </x:row>
    <x:row r="3">
      <x:c r="A3" s="18" t="str">
        <x:v>AAI-DEC-0002</x:v>
      </x:c>
      <x:c r="B3" s="18" t="str">
        <x:v>Local-first before OpenShift</x:v>
      </x:c>
      <x:c r="C3" s="18" t="str">
        <x:v>FROZEN_DECISION</x:v>
      </x:c>
      <x:c r="D3" s="18" t="str">
        <x:v>APPROVED</x:v>
      </x:c>
      <x:c r="E3" s="18" t="str">
        <x:v>Architecture</x:v>
      </x:c>
      <x:c r="F3" s="18" t="str">
        <x:v>AAI-EVD-0002</x:v>
      </x:c>
      <x:c r="G3" s="18" t="str">
        <x:v>AAI-ADR-0008</x:v>
      </x:c>
      <x:c r="H3" s="18" t="str">
        <x:v>First version operates locally</x:v>
      </x:c>
      <x:c r="I3" s="18" t="str">
        <x:v>Define migration triggers</x:v>
      </x:c>
    </x:row>
    <x:row r="4">
      <x:c r="A4" s="18" t="str">
        <x:v>AAI-DEC-0003</x:v>
      </x:c>
      <x:c r="B4" s="18" t="str">
        <x:v>Git as canonical truth</x:v>
      </x:c>
      <x:c r="C4" s="18" t="str">
        <x:v>FROZEN_DECISION</x:v>
      </x:c>
      <x:c r="D4" s="18" t="str">
        <x:v>APPROVED</x:v>
      </x:c>
      <x:c r="E4" s="18" t="str">
        <x:v>Architecture</x:v>
      </x:c>
      <x:c r="F4" s="18" t="str">
        <x:v>AAI-EVD-0003</x:v>
      </x:c>
      <x:c r="G4" s="18" t="str">
        <x:v>AAI-ADR-0002</x:v>
      </x:c>
      <x:c r="H4" s="18" t="str">
        <x:v>Approved knowledge is versioned in Git</x:v>
      </x:c>
      <x:c r="I4" s="18" t="str">
        <x:v>Define repository structure</x:v>
      </x:c>
    </x:row>
    <x:row r="5">
      <x:c r="A5" s="18" t="str">
        <x:v>AAI-DEC-0004</x:v>
      </x:c>
      <x:c r="B5" s="18" t="str">
        <x:v>Work Package contract</x:v>
      </x:c>
      <x:c r="C5" s="18" t="str">
        <x:v>FROZEN_DECISION</x:v>
      </x:c>
      <x:c r="D5" s="18" t="str">
        <x:v>APPROVED</x:v>
      </x:c>
      <x:c r="E5" s="18" t="str">
        <x:v>Architecture</x:v>
      </x:c>
      <x:c r="F5" s="18" t="str">
        <x:v>AAI-EVD-0007</x:v>
      </x:c>
      <x:c r="G5" s="18" t="str">
        <x:v>AAI-ADR-0005</x:v>
      </x:c>
      <x:c r="H5" s="18" t="str">
        <x:v>Complex work is transferred by taskId and Work Package</x:v>
      </x:c>
      <x:c r="I5" s="18" t="str">
        <x:v>Finalize schema</x:v>
      </x:c>
    </x:row>
    <x:row r="6">
      <x:c r="A6" s="18" t="str">
        <x:v>AAI-DEC-0005</x:v>
      </x:c>
      <x:c r="B6" s="18" t="str">
        <x:v>Embedded graph engine</x:v>
      </x:c>
      <x:c r="C6" s="18" t="str">
        <x:v>CURRENT_DIRECTION</x:v>
      </x:c>
      <x:c r="D6" s="18" t="str">
        <x:v>REQUIRES_VALIDATION</x:v>
      </x:c>
      <x:c r="E6" s="18" t="str">
        <x:v>Architecture</x:v>
      </x:c>
      <x:c r="F6" s="18" t="str">
        <x:v>AAI-EVD-0005; AAI-EVD-0006; AAI-EVD-0022; AAI-EVD-0026</x:v>
      </x:c>
      <x:c r="G6" s="18" t="str">
        <x:v>AAI-ADR-0004</x:v>
      </x:c>
      <x:c r="H6" s="18" t="str">
        <x:v>Neo4j Community is the desired direction; JanusGraph remains reported baseline</x:v>
      </x:c>
      <x:c r="I6" s="18" t="str">
        <x:v>License, deployment and migration spike before graph-specific expansion</x:v>
      </x:c>
    </x:row>
    <x:row r="7">
      <x:c r="A7" s="18" t="str">
        <x:v>AAI-DEC-0006</x:v>
      </x:c>
      <x:c r="B7" s="18" t="str">
        <x:v>Infinispan Embedded</x:v>
      </x:c>
      <x:c r="C7" s="18" t="str">
        <x:v>CURRENT_DIRECTION</x:v>
      </x:c>
      <x:c r="D7" s="18" t="str">
        <x:v>REQUIRES_VALIDATION</x:v>
      </x:c>
      <x:c r="E7" s="18" t="str">
        <x:v>Engineering</x:v>
      </x:c>
      <x:c r="F7" s="18" t="str"/>
      <x:c r="G7" s="18" t="str">
        <x:v>AAI-ADR-0003</x:v>
      </x:c>
      <x:c r="H7" s="18" t="str">
        <x:v>State, cache and projections local</x:v>
      </x:c>
      <x:c r="I7" s="18" t="str">
        <x:v>Verify runtime and persistence</x:v>
      </x:c>
    </x:row>
    <x:row r="8">
      <x:c r="A8" s="18" t="str">
        <x:v>AAI-DEC-0007</x:v>
      </x:c>
      <x:c r="B8" s="18" t="str">
        <x:v>Spring Boot Java 21</x:v>
      </x:c>
      <x:c r="C8" s="18" t="str">
        <x:v>FROZEN_DECISION</x:v>
      </x:c>
      <x:c r="D8" s="18" t="str">
        <x:v>APPROVED</x:v>
      </x:c>
      <x:c r="E8" s="18" t="str">
        <x:v>Engineering</x:v>
      </x:c>
      <x:c r="F8" s="18" t="str">
        <x:v>AAI-EVD-0004</x:v>
      </x:c>
      <x:c r="G8" s="18" t="str"/>
      <x:c r="H8" s="18" t="str">
        <x:v>Core implementation platform</x:v>
      </x:c>
      <x:c r="I8" s="18" t="str">
        <x:v>Correct toolchain</x:v>
      </x:c>
    </x:row>
    <x:row r="9">
      <x:c r="A9" s="18" t="str">
        <x:v>AAI-DEC-0008</x:v>
      </x:c>
      <x:c r="B9" s="18" t="str">
        <x:v>Native First capability selection</x:v>
      </x:c>
      <x:c r="C9" s="18" t="str">
        <x:v>FROZEN_DECISION</x:v>
      </x:c>
      <x:c r="D9" s="18" t="str">
        <x:v>APPROVED</x:v>
      </x:c>
      <x:c r="E9" s="18" t="str">
        <x:v>Architecture</x:v>
      </x:c>
      <x:c r="F9" s="18" t="str">
        <x:v>AAI-EVD-0011</x:v>
      </x:c>
      <x:c r="G9" s="18" t="str"/>
      <x:c r="H9" s="18" t="str">
        <x:v>REUSE, CONFIGURE, EXTEND, BUILD, DEFER</x:v>
      </x:c>
      <x:c r="I9" s="18" t="str">
        <x:v>Apply before every new dependency/capability</x:v>
      </x:c>
    </x:row>
    <x:row r="10">
      <x:c r="A10" s="18" t="str">
        <x:v>AAI-DEC-0009</x:v>
      </x:c>
      <x:c r="B10" s="18" t="str">
        <x:v>No silent knowledge promotion</x:v>
      </x:c>
      <x:c r="C10" s="18" t="str">
        <x:v>FROZEN_DECISION</x:v>
      </x:c>
      <x:c r="D10" s="18" t="str">
        <x:v>APPROVED</x:v>
      </x:c>
      <x:c r="E10" s="18" t="str">
        <x:v>Architecture</x:v>
      </x:c>
      <x:c r="F10" s="18" t="str">
        <x:v>AAI-EVD-0015</x:v>
      </x:c>
      <x:c r="G10" s="18" t="str"/>
      <x:c r="H10" s="18" t="str">
        <x:v>Ingestion and inference create candidates; approval/Git creates canonical knowledge</x:v>
      </x:c>
      <x:c r="I10" s="18" t="str">
        <x:v>Formalize promotion contract</x:v>
      </x:c>
    </x:row>
    <x:row r="11">
      <x:c r="A11" s="18" t="str">
        <x:v>AAI-DEC-0010</x:v>
      </x:c>
      <x:c r="B11" s="18" t="str">
        <x:v>Deterministic jobs before agentic execution</x:v>
      </x:c>
      <x:c r="C11" s="18" t="str">
        <x:v>FROZEN_DECISION</x:v>
      </x:c>
      <x:c r="D11" s="18" t="str">
        <x:v>APPROVED</x:v>
      </x:c>
      <x:c r="E11" s="18" t="str">
        <x:v>Architecture</x:v>
      </x:c>
      <x:c r="F11" s="18" t="str">
        <x:v>AAI-EVD-0013; AAI-EVD-0014</x:v>
      </x:c>
      <x:c r="G11" s="18" t="str"/>
      <x:c r="H11" s="18" t="str">
        <x:v>Scheduler does not invoke Devin unless reasoning is required</x:v>
      </x:c>
      <x:c r="I11" s="18" t="str">
        <x:v>Instrument agentic-to-deterministic review</x:v>
      </x:c>
    </x:row>
    <x:row r="12">
      <x:c r="A12" s="18" t="str">
        <x:v>AAI-DEC-0011</x:v>
      </x:c>
      <x:c r="B12" s="18" t="str">
        <x:v>Master Knowledge Compiler operating model</x:v>
      </x:c>
      <x:c r="C12" s="18" t="str">
        <x:v>FROZEN_DECISION</x:v>
      </x:c>
      <x:c r="D12" s="18" t="str">
        <x:v>APPROVED</x:v>
      </x:c>
      <x:c r="E12" s="18" t="str">
        <x:v>Architecture</x:v>
      </x:c>
      <x:c r="F12" s="18" t="str">
        <x:v>AAI-EVD-0021</x:v>
      </x:c>
      <x:c r="G12" s="18" t="str"/>
      <x:c r="H12" s="18" t="str">
        <x:v>Snapshot plus delta; preserve specs and provenance</x:v>
      </x:c>
      <x:c r="I12" s="18" t="str">
        <x:v>Maintain canonical indexes</x:v>
      </x:c>
    </x:row>
    <x:row r="13">
      <x:c r="A13" s="18" t="str">
        <x:v>AAI-DEC-0012</x:v>
      </x:c>
      <x:c r="B13" s="18" t="str">
        <x:v>Internal waves and consolidated handoff</x:v>
      </x:c>
      <x:c r="C13" s="18" t="str">
        <x:v>FROZEN_DECISION</x:v>
      </x:c>
      <x:c r="D13" s="18" t="str">
        <x:v>APPROVED</x:v>
      </x:c>
      <x:c r="E13" s="18" t="str">
        <x:v>Architecture</x:v>
      </x:c>
      <x:c r="F13" s="18" t="str">
        <x:v>AAI-EVD-0028</x:v>
      </x:c>
      <x:c r="G13" s="18" t="str"/>
      <x:c r="H13" s="18" t="str">
        <x:v>Waves organize coverage; transfer occurs only after explicit user confirmation</x:v>
      </x:c>
      <x:c r="I13" s="18" t="str">
        <x:v>Keep all new artifacts PREPARED_NOT_DELIVERED</x:v>
      </x:c>
    </x:row>
    <x:row r="14" ht="42" customHeight="1">
      <x:c r="A14" s="19" t="str">
        <x:v>AAI-DEC-0013</x:v>
      </x:c>
      <x:c r="B14" s="19" t="str">
        <x:v>HAPPY_HANDOFF_READY operational gate</x:v>
      </x:c>
      <x:c r="C14" s="19" t="str">
        <x:v>FROZEN_DECISION</x:v>
      </x:c>
      <x:c r="D14" s="19" t="str">
        <x:v>APPROVED</x:v>
      </x:c>
      <x:c r="E14" s="19" t="str">
        <x:v>Architecture</x:v>
      </x:c>
      <x:c r="F14" s="19" t="str">
        <x:v>AAI-EVD-0031; AAI-EVD-0039</x:v>
      </x:c>
      <x:c r="G14" s="19" t="str"/>
      <x:c r="H14" s="19" t="str">
        <x:v>Handoff requires operational bootstrap and completed No-Loss review</x:v>
      </x:c>
      <x:c r="I14" s="19" t="str">
        <x:v>Keep FALSE until blockers close</x:v>
      </x:c>
    </x:row>
    <x:row r="15" ht="42" customHeight="1">
      <x:c r="A15" s="19" t="str">
        <x:v>AAI-DEC-0014</x:v>
      </x:c>
      <x:c r="B15" s="19" t="str">
        <x:v>Sprint taxonomy</x:v>
      </x:c>
      <x:c r="C15" s="19" t="str">
        <x:v>FROZEN_DECISION</x:v>
      </x:c>
      <x:c r="D15" s="19" t="str">
        <x:v>APPROVED</x:v>
      </x:c>
      <x:c r="E15" s="19" t="str">
        <x:v>Architecture</x:v>
      </x:c>
      <x:c r="F15" s="19" t="str">
        <x:v>AAI-EVD-0032</x:v>
      </x:c>
      <x:c r="G15" s="19" t="str"/>
      <x:c r="H15" s="19" t="str">
        <x:v>Sprint is Planning/Work Management; distinct from Spring Boot and Agent</x:v>
      </x:c>
      <x:c r="I15" s="19" t="str">
        <x:v>Recover historic Sprint model</x:v>
      </x:c>
    </x:row>
    <x:row r="16" ht="42" customHeight="1">
      <x:c r="A16" s="19" t="str">
        <x:v>AAI-DEC-0015</x:v>
      </x:c>
      <x:c r="B16" s="19" t="str">
        <x:v>Governed Devin autonomy</x:v>
      </x:c>
      <x:c r="C16" s="19" t="str">
        <x:v>FROZEN_DECISION</x:v>
      </x:c>
      <x:c r="D16" s="19" t="str">
        <x:v>APPROVED</x:v>
      </x:c>
      <x:c r="E16" s="19" t="str">
        <x:v>Architecture</x:v>
      </x:c>
      <x:c r="F16" s="19" t="str">
        <x:v>AAI-EVD-0034</x:v>
      </x:c>
      <x:c r="G16" s="19" t="str"/>
      <x:c r="H16" s="19" t="str">
        <x:v>Specs, dependencies, gates, skills and tools determine work; typed unresolved conditions escalate</x:v>
      </x:c>
      <x:c r="I16" s="19" t="str">
        <x:v>Encoded in 0009/0010 and bootstrap skeletons; runtime enforcement remains unverified</x:v>
      </x:c>
    </x:row>
    <x:row r="17" ht="42" customHeight="1">
      <x:c r="A17" s="19" t="str">
        <x:v>AAI-DEC-0016</x:v>
      </x:c>
      <x:c r="B17" s="19" t="str">
        <x:v>Blueprint modeling</x:v>
      </x:c>
      <x:c r="C17" s="19" t="str">
        <x:v>PROPOSAL</x:v>
      </x:c>
      <x:c r="D17" s="19" t="str">
        <x:v>PROPOSED</x:v>
      </x:c>
      <x:c r="E17" s="19" t="str">
        <x:v>Architecture</x:v>
      </x:c>
      <x:c r="F17" s="19" t="str">
        <x:v>AAI-EVD-0033</x:v>
      </x:c>
      <x:c r="G17" s="19" t="str"/>
      <x:c r="H17" s="19" t="str">
        <x:v>Optional current/target/evolution projection</x:v>
      </x:c>
      <x:c r="I17" s="19" t="str">
        <x:v>Requires human validation before canonical use</x:v>
      </x:c>
    </x:row>
    <x:row r="18" ht="42" customHeight="1">
      <x:c r="A18" s="19" t="str">
        <x:v>AAI-DEC-0017</x:v>
      </x:c>
      <x:c r="B18" s="19" t="str">
        <x:v>Prompt sequence reconciliation gate</x:v>
      </x:c>
      <x:c r="C18" s="19" t="str">
        <x:v>FROZEN_DECISION</x:v>
      </x:c>
      <x:c r="D18" s="19" t="str">
        <x:v>APPROVED</x:v>
      </x:c>
      <x:c r="E18" s="19" t="str">
        <x:v>Architecture</x:v>
      </x:c>
      <x:c r="F18" s="19" t="str">
        <x:v>AAI-EVD-0035</x:v>
      </x:c>
      <x:c r="G18" s="19" t="str"/>
      <x:c r="H18" s="19" t="str">
        <x:v>Do not draft or number a new Devin prompt until real history is reconciled</x:v>
      </x:c>
      <x:c r="I18" s="19" t="str">
        <x:v>Execute SER-012</x:v>
      </x:c>
    </x:row>
    <x:row r="19" ht="42" customHeight="1">
      <x:c r="A19" s="19" t="str">
        <x:v>AAI-DEC-0018</x:v>
      </x:c>
      <x:c r="B19" s="19" t="str">
        <x:v>Graph ADR evidence gate</x:v>
      </x:c>
      <x:c r="C19" s="19" t="str">
        <x:v>FROZEN_DECISION</x:v>
      </x:c>
      <x:c r="D19" s="19" t="str">
        <x:v>APPROVED</x:v>
      </x:c>
      <x:c r="E19" s="19" t="str">
        <x:v>Architecture</x:v>
      </x:c>
      <x:c r="F19" s="19" t="str">
        <x:v>AAI-EVD-0036</x:v>
      </x:c>
      <x:c r="G19" s="19" t="str"/>
      <x:c r="H19" s="19" t="str">
        <x:v>Do not finalize Graph engine ADR from partial docs or current code alone</x:v>
      </x:c>
      <x:c r="I19" s="19" t="str">
        <x:v>Execute SER-008 before ADR</x:v>
      </x:c>
    </x:row>
    <x:row r="20" ht="42" customHeight="1">
      <x:c r="A20" s="19" t="str">
        <x:v>AAI-DEC-0019</x:v>
      </x:c>
      <x:c r="B20" s="19" t="str">
        <x:v>Governed autoevolution</x:v>
      </x:c>
      <x:c r="C20" s="19" t="str">
        <x:v>FROZEN_DECISION</x:v>
      </x:c>
      <x:c r="D20" s="19" t="str">
        <x:v>APPROVED</x:v>
      </x:c>
      <x:c r="E20" s="19" t="str">
        <x:v>Architecture</x:v>
      </x:c>
      <x:c r="F20" s="19" t="str">
        <x:v>AAI-EVD-0037</x:v>
      </x:c>
      <x:c r="G20" s="19" t="str"/>
      <x:c r="H20" s="19" t="str">
        <x:v>Observation to impact to proposal to verification to new canonical version</x:v>
      </x:c>
      <x:c r="I20" s="19" t="str">
        <x:v>Preserve frozen human decisions</x:v>
      </x:c>
    </x:row>
    <x:row r="21" ht="44" customHeight="1">
      <x:c r="A21" s="19" t="str">
        <x:v>AAI-DEC-0020</x:v>
      </x:c>
      <x:c r="B21" s="19" t="str">
        <x:v>Seed V1 is Architectural DNA plus initial model, capability map and expansion rules</x:v>
      </x:c>
      <x:c r="C21" s="19" t="str">
        <x:v>FROZEN_DECISION</x:v>
      </x:c>
      <x:c r="D21" s="19" t="str">
        <x:v>CURRENT</x:v>
      </x:c>
      <x:c r="E21" s="19" t="str">
        <x:v>User directive P-WAVE-3C-01</x:v>
      </x:c>
      <x:c r="F21" s="19" t="str">
        <x:v>AAI-EVD-0047</x:v>
      </x:c>
      <x:c r="G21" s="19" t="str">
        <x:v>Avoid full-platform bootstrap and destructive compression</x:v>
      </x:c>
      <x:c r="H21" s="19" t="str">
        <x:v>HAPPY-KNOW-55; HAPPY-BOOT-0001..0003</x:v>
      </x:c>
      <x:c r="I21" s="19" t="str">
        <x:v>No implementation effect</x:v>
      </x:c>
    </x:row>
    <x:row r="22" ht="44" customHeight="1">
      <x:c r="A22" s="19" t="str">
        <x:v>AAI-DEC-0021</x:v>
      </x:c>
      <x:c r="B22" s="19" t="str">
        <x:v>Prompts and Waves become historical/non-orchestrating after cutover</x:v>
      </x:c>
      <x:c r="C22" s="19" t="str">
        <x:v>FROZEN_DECISION</x:v>
      </x:c>
      <x:c r="D22" s="19" t="str">
        <x:v>CURRENT</x:v>
      </x:c>
      <x:c r="E22" s="19" t="str">
        <x:v>User directive P-WAVE-3C-01</x:v>
      </x:c>
      <x:c r="F22" s="19" t="str">
        <x:v>AAI-EVD-0057</x:v>
      </x:c>
      <x:c r="G22" s="19" t="str">
        <x:v>Autonomous continuation derives from state/capabilities/specs/evidence</x:v>
      </x:c>
      <x:c r="H22" s="19" t="str">
        <x:v>HAPPY-KNOW-29; 60</x:v>
      </x:c>
      <x:c r="I22" s="19" t="str">
        <x:v>No new prompt sequence</x:v>
      </x:c>
    </x:row>
    <x:row r="23" ht="44" customHeight="1">
      <x:c r="A23" s="19" t="str">
        <x:v>AAI-DEC-0022</x:v>
      </x:c>
      <x:c r="B23" s="19" t="str">
        <x:v>Public personal staging is temporary transport, not implementation repo or authority</x:v>
      </x:c>
      <x:c r="C23" s="19" t="str">
        <x:v>FROZEN_DECISION</x:v>
      </x:c>
      <x:c r="D23" s="19" t="str">
        <x:v>CURRENT</x:v>
      </x:c>
      <x:c r="E23" s="19" t="str">
        <x:v>User directive P-WAVE-3C-01</x:v>
      </x:c>
      <x:c r="F23" s="19" t="str">
        <x:v>AAI-EVD-0053</x:v>
      </x:c>
      <x:c r="G23" s="19" t="str">
        <x:v>Support clone/ZIP and removable staging</x:v>
      </x:c>
      <x:c r="H23" s="19" t="str">
        <x:v>HAPPY-KNOW-60; HAPPY-BOOT-0004</x:v>
      </x:c>
      <x:c r="I23" s="19" t="str">
        <x:v>SER-013 remains open</x:v>
      </x:c>
    </x:row>
    <x:row r="24" ht="44" customHeight="1">
      <x:c r="A24" s="19" t="str">
        <x:v>AAI-DEC-0023</x:v>
      </x:c>
      <x:c r="B24" s="19" t="str">
        <x:v>G1..G11 block Seed readiness; G12 accepts explicit nonblocking unknowns</x:v>
      </x:c>
      <x:c r="C24" s="19" t="str">
        <x:v>FROZEN_DECISION</x:v>
      </x:c>
      <x:c r="D24" s="19" t="str">
        <x:v>CURRENT</x:v>
      </x:c>
      <x:c r="E24" s="19" t="str">
        <x:v>User directive P-WAVE-3C-01</x:v>
      </x:c>
      <x:c r="F24" s="19" t="str">
        <x:v>AAI-EVD-0054</x:v>
      </x:c>
      <x:c r="G24" s="19" t="str">
        <x:v>Readiness based on operational gates, not document count</x:v>
      </x:c>
      <x:c r="H24" s="19" t="str">
        <x:v>HAPPY-KNOW-61</x:v>
      </x:c>
      <x:c r="I24" s="19" t="str">
        <x:v>Handoff FALSE</x:v>
      </x:c>
    </x:row>
    <x:row r="25" ht="44" customHeight="1">
      <x:c r="A25" s="19" t="str">
        <x:v>AAI-DEC-0024</x:v>
      </x:c>
      <x:c r="B25" s="19" t="str">
        <x:v>Seed root, authority precedence and 0.x physical version</x:v>
      </x:c>
      <x:c r="C25" s="19" t="str">
        <x:v>FROZEN_DECISION</x:v>
      </x:c>
      <x:c r="D25" s="19" t="str">
        <x:v>CURRENT</x:v>
      </x:c>
      <x:c r="E25" s="19" t="str">
        <x:v>P-WAVE-3D-01</x:v>
      </x:c>
      <x:c r="F25" s="19" t="str">
        <x:v>AAI-EVD-0059/0062</x:v>
      </x:c>
      <x:c r="G25" s="19" t="str">
        <x:v>Compact root, deep links, construction version</x:v>
      </x:c>
      <x:c r="H25" s="19" t="str">
        <x:v>HAPPY-KNOW-69; Seed root</x:v>
      </x:c>
      <x:c r="I25" s="19" t="str">
        <x:v>No implementation effect</x:v>
      </x:c>
    </x:row>
    <x:row r="26" ht="44" customHeight="1">
      <x:c r="A26" s="19" t="str">
        <x:v>AAI-DEC-0025</x:v>
      </x:c>
      <x:c r="B26" s="19" t="str">
        <x:v>Semantic deduplication + standards before custom + thin institutional layer</x:v>
      </x:c>
      <x:c r="C26" s="19" t="str">
        <x:v>FROZEN_DECISION</x:v>
      </x:c>
      <x:c r="D26" s="19" t="str">
        <x:v>CURRENT</x:v>
      </x:c>
      <x:c r="E26" s="19" t="str">
        <x:v>P-WAVE-3D-01</x:v>
      </x:c>
      <x:c r="F26" s="19" t="str">
        <x:v>AAI-EVD-0060/0061</x:v>
      </x:c>
      <x:c r="G26" s="19" t="str">
        <x:v>Preserve IDs/history and minimize custom semantics</x:v>
      </x:c>
      <x:c r="H26" s="19" t="str">
        <x:v>HAPPY-KNOW-67/68</x:v>
      </x:c>
      <x:c r="I26" s="19" t="str">
        <x:v>No technology adoption inferred</x:v>
      </x:c>
    </x:row>
    <x:row r="27" ht="44" customHeight="1">
      <x:c r="A27" s="19" t="str">
        <x:v>AAI-DEC-0026</x:v>
      </x:c>
      <x:c r="B27" s="19" t="str">
        <x:v>Content hash and external ZIP package hash are non-self-referential</x:v>
      </x:c>
      <x:c r="C27" s="19" t="str">
        <x:v>FROZEN_DECISION</x:v>
      </x:c>
      <x:c r="D27" s="19" t="str">
        <x:v>CURRENT</x:v>
      </x:c>
      <x:c r="E27" s="19" t="str">
        <x:v>P-WAVE-3D-01</x:v>
      </x:c>
      <x:c r="F27" s="19" t="str">
        <x:v>AAI-EVD-0067</x:v>
      </x:c>
      <x:c r="G27" s="19" t="str">
        <x:v>Integrity remains valid without Git</x:v>
      </x:c>
      <x:c r="H27" s="19" t="str">
        <x:v>HAPPY-KNOW-76/77; HANDOFF_MANIFEST</x:v>
      </x:c>
      <x:c r="I27" s="19" t="str">
        <x:v>ZIP sidecar is first-class</x:v>
      </x:c>
    </x:row>
    <x:row r="28" ht="48" customHeight="1">
      <x:c r="A28" s="19" t="str">
        <x:v>AAI-DEC-0027</x:v>
      </x:c>
      <x:c r="B28" s="19" t="str">
        <x:v>Visibility/discovery/knowledge do not transfer organizational ownership or authority</x:v>
      </x:c>
      <x:c r="C28" s="19" t="str">
        <x:v>FROZEN_DECISION</x:v>
      </x:c>
      <x:c r="D28" s="19" t="str">
        <x:v>CURRENT</x:v>
      </x:c>
      <x:c r="E28" s="19" t="str">
        <x:v>P-WAVE-3E-01 + prior authority model</x:v>
      </x:c>
      <x:c r="F28" s="19" t="str">
        <x:v>AAI-EVD-0069</x:v>
      </x:c>
      <x:c r="G28" s="19" t="str">
        <x:v>Architecture AI observes/models/federates; real domains retain authority</x:v>
      </x:c>
      <x:c r="H28" s="19" t="str">
        <x:v>HAPPY-KNOW-55/79</x:v>
      </x:c>
      <x:c r="I28" s="19" t="str">
        <x:v>Institutional owner instances remain SER-014</x:v>
      </x:c>
    </x:row>
  </x:sheetData>
  <x:dataValidations count="2">
    <x:dataValidation type="list" sqref="D2:D200">
      <x:formula1>"OPEN,REQUIRES_VALIDATION,PROPOSED,APPROVED,REJECTED,SUPERSEDED"</x:formula1>
    </x:dataValidation>
    <x:dataValidation type="list" sqref="D2:D250">
      <x:formula1>"OPEN,REQUIRES_VALIDATION,PROPOSED,APPROVED,REJECTED,SUPERSEDED"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20" hidden="0" customWidth="1"/>
    <x:col min="5" max="5" width="31" hidden="0" customWidth="1"/>
    <x:col min="6" max="6" width="25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20" hidden="0" customWidth="1"/>
    <x:col min="12" max="12" width="28" hidden="0" customWidth="1"/>
  </x:cols>
  <x:sheetData>
    <x:row r="1">
      <x:c r="A1" s="5" t="str">
        <x:v>Prompt ID</x:v>
      </x:c>
      <x:c r="B1" s="5" t="str">
        <x:v>Title</x:v>
      </x:c>
      <x:c r="C1" s="5" t="str">
        <x:v>Prepared date</x:v>
      </x:c>
      <x:c r="D1" s="5" t="str">
        <x:v>Delivered date</x:v>
      </x:c>
      <x:c r="E1" s="5" t="str">
        <x:v>Execution / delivery status</x:v>
      </x:c>
      <x:c r="F1" s="5" t="str">
        <x:v>Delivery confirmation</x:v>
      </x:c>
      <x:c r="G1" s="5" t="str">
        <x:v>Input artifacts</x:v>
      </x:c>
      <x:c r="H1" s="5" t="str">
        <x:v>Expected output</x:v>
      </x:c>
      <x:c r="I1" s="5" t="str">
        <x:v>Actual result</x:v>
      </x:c>
      <x:c r="J1" s="5" t="str">
        <x:v>Reconciliation</x:v>
      </x:c>
      <x:c r="K1" s="5" t="str">
        <x:v>Target</x:v>
      </x:c>
      <x:c r="L1" s="5" t="str">
        <x:v>Effective sequence</x:v>
      </x:c>
    </x:row>
    <x:row r="2">
      <x:c r="A2" s="18" t="str">
        <x:v>AAI-PRM-0000</x:v>
      </x:c>
      <x:c r="B2" s="18" t="str">
        <x:v>Master Bootstrap / Architecture AI</x:v>
      </x:c>
      <x:c r="C2" s="18" t="str"/>
      <x:c r="D2" s="18" t="str">
        <x:v>Confirmed previously</x:v>
      </x:c>
      <x:c r="E2" s="18" t="str">
        <x:v>EXECUTED</x:v>
      </x:c>
      <x:c r="F2" s="18" t="str">
        <x:v>USER_CONFIRMED</x:v>
      </x:c>
      <x:c r="G2" s="18" t="str">
        <x:v>Master prompt</x:v>
      </x:c>
      <x:c r="H2" s="18" t="str">
        <x:v>Baseline reconstruction and plan</x:v>
      </x:c>
      <x:c r="I2" s="18" t="str">
        <x:v>Execution confirmed</x:v>
      </x:c>
      <x:c r="J2" s="18" t="str">
        <x:v>PARTIAL</x:v>
      </x:c>
      <x:c r="K2" s="18" t="str">
        <x:v>DEVIN</x:v>
      </x:c>
      <x:c r="L2" s="18" t="str">
        <x:v>00</x:v>
      </x:c>
    </x:row>
    <x:row r="3">
      <x:c r="A3" s="18" t="str">
        <x:v>AAI-PRM-0001</x:v>
      </x:c>
      <x:c r="B3" s="18" t="str">
        <x:v>Implementation Status Capture</x:v>
      </x:c>
      <x:c r="C3" s="18" t="str"/>
      <x:c r="D3" s="18" t="str">
        <x:v>Confirmed previously</x:v>
      </x:c>
      <x:c r="E3" s="18" t="str">
        <x:v>RESULT_RECEIVED</x:v>
      </x:c>
      <x:c r="F3" s="18" t="str">
        <x:v>USER_CONFIRMED</x:v>
      </x:c>
      <x:c r="G3" s="18" t="str">
        <x:v>Prompt 01</x:v>
      </x:c>
      <x:c r="H3" s="18" t="str">
        <x:v>CURRENT_IMPLEMENTATION_BASELINE.md</x:v>
      </x:c>
      <x:c r="I3" s="18" t="str">
        <x:v>Baseline received</x:v>
      </x:c>
      <x:c r="J3" s="18" t="str">
        <x:v>PARTIAL</x:v>
      </x:c>
      <x:c r="K3" s="18" t="str">
        <x:v>DEVIN</x:v>
      </x:c>
      <x:c r="L3" s="18" t="str">
        <x:v>01</x:v>
      </x:c>
    </x:row>
    <x:row r="4">
      <x:c r="A4" s="18" t="str">
        <x:v>AAI-PRM-0002</x:v>
      </x:c>
      <x:c r="B4" s="18" t="str">
        <x:v>Baseline V2 draft — sequence unassigned</x:v>
      </x:c>
      <x:c r="C4" s="18" t="str">
        <x:v>2026-09-02</x:v>
      </x:c>
      <x:c r="D4" s="18" t="str"/>
      <x:c r="E4" s="18" t="str">
        <x:v>PREPARED_NOT_DELIVERED</x:v>
      </x:c>
      <x:c r="F4" s="18" t="str">
        <x:v>NOT_CONFIRMED</x:v>
      </x:c>
      <x:c r="G4" s="18" t="str">
        <x:v>Architecture AI package v0.1</x:v>
      </x:c>
      <x:c r="H4" s="18" t="str">
        <x:v>Baseline V2, traceability, delta, open decisions, plan</x:v>
      </x:c>
      <x:c r="I4" s="18" t="str"/>
      <x:c r="J4" s="18" t="str">
        <x:v>DRAFT_ONLY; PROMPT_SEQUENCE_UNRESOLVED</x:v>
      </x:c>
      <x:c r="K4" s="18" t="str">
        <x:v>DEVIN</x:v>
      </x:c>
      <x:c r="L4" s="18" t="str">
        <x:v>UNASSIGNED</x:v>
      </x:c>
    </x:row>
    <x:row r="5">
      <x:c r="A5" s="18" t="str">
        <x:v>AAI-PRM-0003</x:v>
      </x:c>
      <x:c r="B5" s="18" t="str">
        <x:v>Wave 1 alignment draft — sequence unassigned</x:v>
      </x:c>
      <x:c r="C5" s="18" t="str">
        <x:v>2026-09-02</x:v>
      </x:c>
      <x:c r="D5" s="18" t="str"/>
      <x:c r="E5" s="18" t="str">
        <x:v>PREPARED_NOT_DELIVERED</x:v>
      </x:c>
      <x:c r="F5" s="18" t="str">
        <x:v>NOT_CONFIRMED</x:v>
      </x:c>
      <x:c r="G5" s="18" t="str">
        <x:v>Wave 1 document and Markdown package</x:v>
      </x:c>
      <x:c r="H5" s="18" t="str">
        <x:v>Product, banking context, vector and spec alignment</x:v>
      </x:c>
      <x:c r="I5" s="18" t="str"/>
      <x:c r="J5" s="18" t="str">
        <x:v>DRAFT_ONLY; PROMPT_SEQUENCE_UNRESOLVED</x:v>
      </x:c>
      <x:c r="K5" s="18" t="str">
        <x:v>DEVIN</x:v>
      </x:c>
      <x:c r="L5" s="18" t="str">
        <x:v>UNASSIGNED</x:v>
      </x:c>
    </x:row>
    <x:row r="6">
      <x:c r="A6" s="18" t="str">
        <x:v>AAI-DLV-0001</x:v>
      </x:c>
      <x:c r="B6" s="18" t="str">
        <x:v>Package v0.1: DOCX + XLSX + ZIP</x:v>
      </x:c>
      <x:c r="C6" s="18" t="str">
        <x:v>2026-09-02</x:v>
      </x:c>
      <x:c r="D6" s="18" t="str"/>
      <x:c r="E6" s="18" t="str">
        <x:v>PREPARED_NOT_DELIVERED</x:v>
      </x:c>
      <x:c r="F6" s="18" t="str">
        <x:v>NOT_CONFIRMED</x:v>
      </x:c>
      <x:c r="G6" s="18" t="str">
        <x:v>Three generated artifacts</x:v>
      </x:c>
      <x:c r="H6" s="18" t="str">
        <x:v>Devin ingestion and baseline V2</x:v>
      </x:c>
      <x:c r="I6" s="18" t="str"/>
      <x:c r="J6" s="18" t="str">
        <x:v>NOT_STARTED</x:v>
      </x:c>
      <x:c r="K6" s="18" t="str">
        <x:v>DEVIN_HANDOFF</x:v>
      </x:c>
      <x:c r="L6" s="18" t="str">
        <x:v>N/A</x:v>
      </x:c>
    </x:row>
    <x:row r="7">
      <x:c r="A7" s="18" t="str">
        <x:v>AAI-DLV-0002</x:v>
      </x:c>
      <x:c r="B7" s="18" t="str">
        <x:v>Oleada 0 governance package</x:v>
      </x:c>
      <x:c r="C7" s="18" t="str">
        <x:v>2026-09-02</x:v>
      </x:c>
      <x:c r="D7" s="18" t="str"/>
      <x:c r="E7" s="18" t="str">
        <x:v>PREPARED_NOT_DELIVERED</x:v>
      </x:c>
      <x:c r="F7" s="18" t="str">
        <x:v>NOT_CONFIRMED</x:v>
      </x:c>
      <x:c r="G7" s="18" t="str">
        <x:v>Control workbook + governance pack</x:v>
      </x:c>
      <x:c r="H7" s="18" t="str">
        <x:v>Controlled documentary baseline</x:v>
      </x:c>
      <x:c r="I7" s="18" t="str"/>
      <x:c r="J7" s="18" t="str">
        <x:v>NOT_STARTED</x:v>
      </x:c>
      <x:c r="K7" s="18" t="str">
        <x:v>DEVIN_HANDOFF</x:v>
      </x:c>
      <x:c r="L7" s="18" t="str">
        <x:v>N/A</x:v>
      </x:c>
    </x:row>
    <x:row r="8">
      <x:c r="A8" s="18" t="str">
        <x:v>AAI-DLV-0003</x:v>
      </x:c>
      <x:c r="B8" s="18" t="str">
        <x:v>Oleada 1 context and specifications</x:v>
      </x:c>
      <x:c r="C8" s="18" t="str">
        <x:v>2026-09-02</x:v>
      </x:c>
      <x:c r="D8" s="18" t="str"/>
      <x:c r="E8" s="18" t="str">
        <x:v>PREPARED_NOT_DELIVERED</x:v>
      </x:c>
      <x:c r="F8" s="18" t="str">
        <x:v>NOT_CONFIRMED</x:v>
      </x:c>
      <x:c r="G8" s="18" t="str">
        <x:v>Wave 1 DOCX + Markdown package</x:v>
      </x:c>
      <x:c r="H8" s="18" t="str">
        <x:v>Product/banking/vector alignment</x:v>
      </x:c>
      <x:c r="I8" s="18" t="str"/>
      <x:c r="J8" s="18" t="str">
        <x:v>NOT_STARTED</x:v>
      </x:c>
      <x:c r="K8" s="18" t="str">
        <x:v>DEVIN_HANDOFF</x:v>
      </x:c>
      <x:c r="L8" s="18" t="str">
        <x:v>N/A</x:v>
      </x:c>
    </x:row>
    <x:row r="9">
      <x:c r="A9" s="18" t="str">
        <x:v>AAI-PRM-0004</x:v>
      </x:c>
      <x:c r="B9" s="18" t="str">
        <x:v>Candidate future reconciliation — not drafted</x:v>
      </x:c>
      <x:c r="C9" s="18" t="str"/>
      <x:c r="D9" s="18" t="str"/>
      <x:c r="E9" s="18" t="str">
        <x:v>NOT_PLANNED</x:v>
      </x:c>
      <x:c r="F9" s="18" t="str">
        <x:v>NOT_CONFIRMED</x:v>
      </x:c>
      <x:c r="G9" s="18" t="str">
        <x:v>Pending canonical specs/contracts</x:v>
      </x:c>
      <x:c r="H9" s="18" t="str">
        <x:v>Repo mapping, verified baseline and sync delta</x:v>
      </x:c>
      <x:c r="I9" s="18" t="str"/>
      <x:c r="J9" s="18" t="str">
        <x:v>PROMPT_SEQUENCE_UNRESOLVED</x:v>
      </x:c>
      <x:c r="K9" s="18" t="str">
        <x:v>DEVIN</x:v>
      </x:c>
      <x:c r="L9" s="18" t="str">
        <x:v>UNASSIGNED</x:v>
      </x:c>
    </x:row>
    <x:row r="10">
      <x:c r="A10" s="18" t="str">
        <x:v>AAI-DLV-0004</x:v>
      </x:c>
      <x:c r="B10" s="18" t="str">
        <x:v>Happy Knowledge snapshot HK-2026-09-02.1</x:v>
      </x:c>
      <x:c r="C10" s="18" t="str">
        <x:v>2026-09-02</x:v>
      </x:c>
      <x:c r="D10" s="18" t="str"/>
      <x:c r="E10" s="18" t="str">
        <x:v>PREPARED_NOT_DELIVERED</x:v>
      </x:c>
      <x:c r="F10" s="18" t="str">
        <x:v>NOT_CONFIRMED</x:v>
      </x:c>
      <x:c r="G10" s="18" t="str">
        <x:v>Canonical Markdown snapshot + editable dossier + control workbook</x:v>
      </x:c>
      <x:c r="H10" s="18" t="str">
        <x:v>User review before consolidated Devin handoff</x:v>
      </x:c>
      <x:c r="I10" s="18" t="str"/>
      <x:c r="J10" s="18" t="str">
        <x:v>NOT_STARTED</x:v>
      </x:c>
      <x:c r="K10" s="18" t="str">
        <x:v>DEVIN_HANDOFF</x:v>
      </x:c>
      <x:c r="L10" s="18" t="str">
        <x:v>N/A</x:v>
      </x:c>
    </x:row>
    <x:row r="11" ht="42" customHeight="1">
      <x:c r="A11" s="19" t="str">
        <x:v>WORK-P-RESUME-00</x:v>
      </x:c>
      <x:c r="B11" s="19" t="str">
        <x:v>Continuation from prior execution state</x:v>
      </x:c>
      <x:c r="C11" s="19" t="str">
        <x:v>2026-09-02</x:v>
      </x:c>
      <x:c r="D11" s="19" t="str">
        <x:v>Current Work</x:v>
      </x:c>
      <x:c r="E11" s="19" t="str">
        <x:v>EXECUTED</x:v>
      </x:c>
      <x:c r="F11" s="19" t="str">
        <x:v>USER_CONFIRMED</x:v>
      </x:c>
      <x:c r="G11" s="19" t="str">
        <x:v>Existing Work state and artifacts</x:v>
      </x:c>
      <x:c r="H11" s="19" t="str">
        <x:v>Continue first pending point without restarting A–F</x:v>
      </x:c>
      <x:c r="I11" s="19" t="str">
        <x:v>Recovery, dossier, Control Master and Knowledge Pack preserved</x:v>
      </x:c>
      <x:c r="J11" s="19" t="str">
        <x:v>RECONCILED_AS_WORK_DIRECTIVE</x:v>
      </x:c>
      <x:c r="K11" s="19" t="str">
        <x:v>WORK</x:v>
      </x:c>
      <x:c r="L11" s="19" t="str">
        <x:v>WORK-RESUME-00</x:v>
      </x:c>
    </x:row>
    <x:row r="12" ht="56" customHeight="1">
      <x:c r="A12" s="19" t="str">
        <x:v>P-ALIGN-01</x:v>
      </x:c>
      <x:c r="B12" s="19" t="str">
        <x:v>HAPPY — Alignment Before Oleada 3</x:v>
      </x:c>
      <x:c r="C12" s="19" t="str">
        <x:v>2026-09-02</x:v>
      </x:c>
      <x:c r="D12" s="19" t="str">
        <x:v>Current Work</x:v>
      </x:c>
      <x:c r="E12" s="19" t="str">
        <x:v>RECONCILED</x:v>
      </x:c>
      <x:c r="F12" s="19" t="str">
        <x:v>USER_CONFIRMED</x:v>
      </x:c>
      <x:c r="G12" s="19" t="str">
        <x:v>Canonical snapshot + P-ALIGN-01 directive</x:v>
      </x:c>
      <x:c r="H12" s="19" t="str">
        <x:v>Operational handoff alignment and safe Oleada 3 boundary</x:v>
      </x:c>
      <x:c r="I12" s="19" t="str">
        <x:v>Docs 39–48; Specs 0004–0008; schemas; diagrams; Control Master delta</x:v>
      </x:c>
      <x:c r="J12" s="19" t="str">
        <x:v>SENT / EXECUTED / RECONCILED; DRAFT / PREPARED_NOT_DELIVERED</x:v>
      </x:c>
      <x:c r="K12" s="19" t="str">
        <x:v>WORK</x:v>
      </x:c>
      <x:c r="L12" s="19" t="str">
        <x:v>WORK-ALIGN-01</x:v>
      </x:c>
    </x:row>
    <x:row r="13" ht="44" customHeight="1">
      <x:c r="A13" s="19" t="str">
        <x:v>P-O3B-01</x:v>
      </x:c>
      <x:c r="B13" s="19" t="str">
        <x:v>Oleada 3B — Work Lifecycle + Bootstrap Skeleton</x:v>
      </x:c>
      <x:c r="C13" s="19" t="str">
        <x:v>2026-09-02</x:v>
      </x:c>
      <x:c r="D13" s="19" t="str">
        <x:v>Current Work</x:v>
      </x:c>
      <x:c r="E13" s="19" t="str">
        <x:v>RECONCILED</x:v>
      </x:c>
      <x:c r="F13" s="19" t="str">
        <x:v>USER_CONFIRMED</x:v>
      </x:c>
      <x:c r="G13" s="19" t="str">
        <x:v>Aligned canonical snapshot + observed lifecycle sources</x:v>
      </x:c>
      <x:c r="H13" s="19" t="str">
        <x:v>Formal specs/contracts/diagrams/skeletons without blocked decisions</x:v>
      </x:c>
      <x:c r="I13" s="19" t="str">
        <x:v>0009/0010; 7 schemas; 4 diagrams; 4 bootstrap skeletons; Control/status delta</x:v>
      </x:c>
      <x:c r="J13" s="19" t="str">
        <x:v>DRAFT / PREPARED_NOT_DELIVERED; no Devin prompt or delivery</x:v>
      </x:c>
      <x:c r="K13" s="19" t="str">
        <x:v>WORK</x:v>
      </x:c>
      <x:c r="L13" s="19" t="str">
        <x:v>WORK-O3B-01</x:v>
      </x:c>
    </x:row>
    <x:row r="14" ht="44" customHeight="1">
      <x:c r="A14" s="19" t="str">
        <x:v>P-WAVE-3C-01</x:v>
      </x:c>
      <x:c r="B14" s="19" t="str">
        <x:v>Seed V1 — Architectural DNA, Autonomous Expansion, Operating Model &amp; Devin Handoff</x:v>
      </x:c>
      <x:c r="C14" s="19" t="str">
        <x:v>2026-09-02</x:v>
      </x:c>
      <x:c r="D14" s="19" t="str">
        <x:v>Current Work</x:v>
      </x:c>
      <x:c r="E14" s="19" t="str">
        <x:v>RECONCILED</x:v>
      </x:c>
      <x:c r="F14" s="19" t="str">
        <x:v>USER_CONFIRMED</x:v>
      </x:c>
      <x:c r="G14" s="19" t="str">
        <x:v>Post-3B canonical snapshot and user directive</x:v>
      </x:c>
      <x:c r="H14" s="19" t="str">
        <x:v>Seed/DNA/capability/operating/cutover/gates without implementation</x:v>
      </x:c>
      <x:c r="I14" s="19" t="str">
        <x:v>Docs 52–66; bootstrap v0.2; diagrams 0013–0018; Control delta</x:v>
      </x:c>
      <x:c r="J14" s="19" t="str">
        <x:v>DRAFT / PREPARED_NOT_DELIVERED; not a Devin prompt</x:v>
      </x:c>
      <x:c r="K14" s="19" t="str">
        <x:v>WORK</x:v>
      </x:c>
      <x:c r="L14" s="19" t="str">
        <x:v>HK-DELTA-O3C-SEED-01</x:v>
      </x:c>
    </x:row>
    <x:row r="15" ht="44" customHeight="1">
      <x:c r="A15" s="19" t="str">
        <x:v>P-WAVE-3D-01</x:v>
      </x:c>
      <x:c r="B15" s="19" t="str">
        <x:v>Seed V1 — Assembly, Deduplication, Standards Substitution, Root Package &amp; Acceptance Preparation</x:v>
      </x:c>
      <x:c r="C15" s="19" t="str">
        <x:v>2026-09-02</x:v>
      </x:c>
      <x:c r="D15" s="19" t="str">
        <x:v>Current Work</x:v>
      </x:c>
      <x:c r="E15" s="19" t="str">
        <x:v>RECONCILED</x:v>
      </x:c>
      <x:c r="F15" s="19" t="str">
        <x:v>USER_CONFIRMED</x:v>
      </x:c>
      <x:c r="G15" s="19" t="str">
        <x:v>Post-3C canonical snapshot</x:v>
      </x:c>
      <x:c r="H15" s="19" t="str">
        <x:v>Compact root Seed, dedup, standards/thin layer, fixtures, manifest, validation and transport</x:v>
      </x:c>
      <x:c r="I15" s="19" t="str">
        <x:v>Docs 67–78; Seed 0.9.0-assembly.1; Control/package receipts</x:v>
      </x:c>
      <x:c r="J15" s="19" t="str">
        <x:v>DRAFT / PREPARED_NOT_DELIVERED; not a Devin prompt</x:v>
      </x:c>
      <x:c r="K15" s="19" t="str">
        <x:v>WORK</x:v>
      </x:c>
      <x:c r="L15" s="19" t="str">
        <x:v>HK-DELTA-O3D-SEED-01</x:v>
      </x:c>
    </x:row>
    <x:row r="16" ht="48" customHeight="1">
      <x:c r="A16" s="19" t="str">
        <x:v>P-WAVE-3E-01</x:v>
      </x:c>
      <x:c r="B16" s="19" t="str">
        <x:v>Seed V1 — Federated Organizational Evolution, Deterministic Maturity, Knowledge Geometry &amp; Devin Expansion Boundary</x:v>
      </x:c>
      <x:c r="C16" s="19" t="str">
        <x:v>2026-09-03</x:v>
      </x:c>
      <x:c r="D16" s="19" t="str">
        <x:v>Current Work</x:v>
      </x:c>
      <x:c r="E16" s="19" t="str">
        <x:v>RECONCILED</x:v>
      </x:c>
      <x:c r="F16" s="19" t="str">
        <x:v>USER_CONFIRMED</x:v>
      </x:c>
      <x:c r="G16" s="19" t="str">
        <x:v>Validated local assembly.1 + full 3E directive</x:v>
      </x:c>
      <x:c r="H16" s="19" t="str">
        <x:v>Reconcile authority/federation/maturity/geometry/expansion without implementation</x:v>
      </x:c>
      <x:c r="I16" s="19" t="str">
        <x:v>Docs 79–85; assembly.2; Control/package receipts</x:v>
      </x:c>
      <x:c r="J16" s="19" t="str">
        <x:v>DRAFT / PREPARED_NOT_DELIVERED; not a Devin prompt</x:v>
      </x:c>
      <x:c r="K16" s="19" t="str">
        <x:v>WORK</x:v>
      </x:c>
      <x:c r="L16" s="19" t="str">
        <x:v>HK-DELTA-O3E-SEED-01</x:v>
      </x:c>
    </x:row>
    <x:row r="17" ht="50" customHeight="1">
      <x:c r="A17" s="19" t="str">
        <x:v>P-SEED-ACCEPT-01</x:v>
      </x:c>
      <x:c r="B17" s="19" t="str">
        <x:v>Seed V1 — Acceptance Preparation, Current-State Reconciliation, Deterministic Assurance &amp; First Autonomous Execution Frontier</x:v>
      </x:c>
      <x:c r="C17" s="19" t="str">
        <x:v>2026-09-03</x:v>
      </x:c>
      <x:c r="D17" s="19" t="str">
        <x:v>Current Work</x:v>
      </x:c>
      <x:c r="E17" s="19" t="str">
        <x:v>RECONCILED</x:v>
      </x:c>
      <x:c r="F17" s="19" t="str">
        <x:v>USER_CONFIRMED</x:v>
      </x:c>
      <x:c r="G17" s="19" t="str">
        <x:v>0.9.0-assembly.2 + full acceptance directive</x:v>
      </x:c>
      <x:c r="H17" s="19" t="str">
        <x:v>Prepare tests/reconciliation without implementation or new conceptual wave</x:v>
      </x:c>
      <x:c r="I17" s="19" t="str">
        <x:v>ACCEPTANCE, doc 86, FX-L..P, package/control delta</x:v>
      </x:c>
      <x:c r="J17" s="19" t="str">
        <x:v>DRAFT / PREPARED_NOT_DELIVERED; not a Devin prompt</x:v>
      </x:c>
      <x:c r="K17" s="19" t="str">
        <x:v>WORK</x:v>
      </x:c>
      <x:c r="L17" s="19" t="str">
        <x:v>HK-DELTA-SEED-ACCEPT-01</x:v>
      </x:c>
    </x:row>
    <x:row r="18" ht="50" customHeight="1">
      <x:c r="A18" s="19" t="str">
        <x:v>P-SEED-ACCEPT-01-RESUME-01</x:v>
      </x:c>
      <x:c r="B18" s="19" t="str">
        <x:v>Resume acceptance/adoption/environment/multi-architect refinements</x:v>
      </x:c>
      <x:c r="C18" s="19" t="str">
        <x:v>2026-09-03</x:v>
      </x:c>
      <x:c r="D18" s="19" t="str">
        <x:v>Current Work</x:v>
      </x:c>
      <x:c r="E18" s="19" t="str">
        <x:v>RECONCILED</x:v>
      </x:c>
      <x:c r="F18" s="19" t="str">
        <x:v>USER_CONFIRMED</x:v>
      </x:c>
      <x:c r="G18" s="19" t="str">
        <x:v>partially completed acceptance workspace + resume delta</x:v>
      </x:c>
      <x:c r="H18" s="19" t="str">
        <x:v>Continue from actual cutoff; preserve access/authority/readiness and adoption constraints</x:v>
      </x:c>
      <x:c r="I18" s="19" t="str">
        <x:v>FX-Q..T, EXP-ACCEPT-004..009, package/control delta</x:v>
      </x:c>
      <x:c r="J18" s="19" t="str">
        <x:v>DRAFT / PREPARED_NOT_DELIVERED; not a Devin prompt</x:v>
      </x:c>
      <x:c r="K18" s="19" t="str">
        <x:v>WORK</x:v>
      </x:c>
      <x:c r="L18" s="19" t="str">
        <x:v>HK-DELTA-SEED-ACCEPT-RESUME-01</x:v>
      </x:c>
    </x:row>
    <x:row r="19" ht="50" customHeight="1">
      <x:c r="A19" s="19" t="str">
        <x:v>P-SEED-CLOSE-01</x:v>
      </x:c>
      <x:c r="B19" s="19" t="str">
        <x:v>Seed V1 — Final Closure, Handoff Hardening &amp; Devin Execution Readiness</x:v>
      </x:c>
      <x:c r="C19" s="19" t="str">
        <x:v>2026-09-03</x:v>
      </x:c>
      <x:c r="D19" s="19" t="str">
        <x:v>Current Work</x:v>
      </x:c>
      <x:c r="E19" s="19" t="str">
        <x:v>RECONCILED</x:v>
      </x:c>
      <x:c r="F19" s="19" t="str">
        <x:v>USER_CONFIRMED</x:v>
      </x:c>
      <x:c r="G19" s="19" t="str">
        <x:v>0.9.1 acceptance-prep + closure directive</x:v>
      </x:c>
      <x:c r="H19" s="19" t="str">
        <x:v>Close Seed, prepare receipts/deferred execution, separate handoff/build readiness</x:v>
      </x:c>
      <x:c r="I19" s="19" t="str">
        <x:v>1.0.0-rc1 candidate + final validation</x:v>
      </x:c>
      <x:c r="J19" s="19" t="str">
        <x:v>HANDOFF_READY / PREPARED_NOT_DELIVERED; not a Devin prompt</x:v>
      </x:c>
      <x:c r="K19" s="19" t="str">
        <x:v>WORK</x:v>
      </x:c>
      <x:c r="L19" s="19" t="str">
        <x:v>HK-DELTA-SEED-CLOSE-01</x:v>
      </x:c>
    </x:row>
  </x:sheetData>
  <x:dataValidations count="5">
    <x:dataValidation type="list" sqref="E2:E200">
      <x:formula1>"NOT_PLANNED,PREPARED_NOT_DELIVERED,DELIVERED_TO_DEVIN,ACKNOWLEDGED,EXECUTED,RESULT_RECEIVED,RECONCILED"</x:formula1>
    </x:dataValidation>
    <x:dataValidation type="list" sqref="E2:E250">
      <x:formula1>"NOT_PLANNED,PREPARED_NOT_DELIVERED,DELIVERED_TO_DEVIN,ACKNOWLEDGED,EXECUTED,RESULT_RECEIVED,RECONCILED"</x:formula1>
    </x:dataValidation>
    <x:dataValidation type="list" sqref="K2:K250">
      <x:formula1>"DEVIN,DEVIN_HANDOFF,WORK"</x:formula1>
    </x:dataValidation>
    <x:dataValidation type="list" sqref="E2:E300">
      <x:formula1>"NOT_PLANNED,PREPARED_NOT_DELIVERED,DELIVERED_TO_DEVIN,ACKNOWLEDGED,EXECUTED,RESULT_RECEIVED,RECONCILED"</x:formula1>
    </x:dataValidation>
    <x:dataValidation type="list" sqref="K2:K300">
      <x:formula1>"DEVIN,DEVIN_HANDOFF,WORK"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20" hidden="0" customWidth="1"/>
  </x:cols>
  <x:sheetData>
    <x:row r="1">
      <x:c r="A1" s="5" t="str">
        <x:v>Diagram ID</x:v>
      </x:c>
      <x:c r="B1" s="5" t="str">
        <x:v>Title</x:v>
      </x:c>
      <x:c r="C1" s="5" t="str">
        <x:v>View type</x:v>
      </x:c>
      <x:c r="D1" s="5" t="str">
        <x:v>Format</x:v>
      </x:c>
      <x:c r="E1" s="5" t="str">
        <x:v>Status</x:v>
      </x:c>
      <x:c r="F1" s="5" t="str">
        <x:v>Source file</x:v>
      </x:c>
      <x:c r="G1" s="5" t="str">
        <x:v>Rendered file</x:v>
      </x:c>
      <x:c r="H1" s="5" t="str">
        <x:v>Consumer docs</x:v>
      </x:c>
      <x:c r="I1" s="5" t="str">
        <x:v>Decision IDs</x:v>
      </x:c>
      <x:c r="J1" s="5" t="str">
        <x:v>Review owner</x:v>
      </x:c>
    </x:row>
    <x:row r="2">
      <x:c r="A2" s="18" t="str">
        <x:v>AAI-DGM-0001</x:v>
      </x:c>
      <x:c r="B2" s="18" t="str">
        <x:v>Contexto general</x:v>
      </x:c>
      <x:c r="C2" s="18" t="str">
        <x:v>Architecture</x:v>
      </x:c>
      <x:c r="D2" s="18" t="str">
        <x:v>Mermaid/C4</x:v>
      </x:c>
      <x:c r="E2" s="18" t="str">
        <x:v>SOURCE_DRAFTED</x:v>
      </x:c>
      <x:c r="F2" s="18" t="str">
        <x:v>wave1_content/diagrams/AAI-DGM-0001-CONTEXT.mmd</x:v>
      </x:c>
      <x:c r="G2" s="18" t="str"/>
      <x:c r="H2" s="18" t="str">
        <x:v>AAI-DOC-0101</x:v>
      </x:c>
      <x:c r="I2" s="18" t="str"/>
      <x:c r="J2" s="18" t="str">
        <x:v>Architecture</x:v>
      </x:c>
    </x:row>
    <x:row r="3">
      <x:c r="A3" s="18" t="str">
        <x:v>AAI-DGM-0002</x:v>
      </x:c>
      <x:c r="B3" s="18" t="str">
        <x:v>Architecture AI frente a Devin</x:v>
      </x:c>
      <x:c r="C3" s="18" t="str">
        <x:v>Architecture</x:v>
      </x:c>
      <x:c r="D3" s="18" t="str">
        <x:v>Mermaid/C4</x:v>
      </x:c>
      <x:c r="E3" s="18" t="str">
        <x:v>SOURCE_DRAFTED</x:v>
      </x:c>
      <x:c r="F3" s="18" t="str">
        <x:v>wave1_content/diagrams/AAI-DGM-0002-INTELLIGENCE-BOUNDARY.mmd</x:v>
      </x:c>
      <x:c r="G3" s="18" t="str"/>
      <x:c r="H3" s="18" t="str">
        <x:v>AAI-DOC-0101</x:v>
      </x:c>
      <x:c r="I3" s="18" t="str"/>
      <x:c r="J3" s="18" t="str">
        <x:v>Architecture</x:v>
      </x:c>
    </x:row>
    <x:row r="4">
      <x:c r="A4" s="18" t="str">
        <x:v>AAI-DGM-0003</x:v>
      </x:c>
      <x:c r="B4" s="18" t="str">
        <x:v>Plataforma global frente a contexto por país</x:v>
      </x:c>
      <x:c r="C4" s="18" t="str">
        <x:v>Architecture</x:v>
      </x:c>
      <x:c r="D4" s="18" t="str">
        <x:v>Mermaid/C4</x:v>
      </x:c>
      <x:c r="E4" s="18" t="str">
        <x:v>SOURCE_DRAFTED</x:v>
      </x:c>
      <x:c r="F4" s="18" t="str">
        <x:v>wave1_content/diagrams/AAI-DGM-0003-GLOBAL-COUNTRY.mmd</x:v>
      </x:c>
      <x:c r="G4" s="18" t="str"/>
      <x:c r="H4" s="18" t="str">
        <x:v>AAI-DOC-0102</x:v>
      </x:c>
      <x:c r="I4" s="18" t="str"/>
      <x:c r="J4" s="18" t="str">
        <x:v>Architecture</x:v>
      </x:c>
    </x:row>
    <x:row r="5">
      <x:c r="A5" s="18" t="str">
        <x:v>AAI-DGM-0004</x:v>
      </x:c>
      <x:c r="B5" s="18" t="str">
        <x:v>Tres planos de responsabilidad</x:v>
      </x:c>
      <x:c r="C5" s="18" t="str">
        <x:v>Architecture</x:v>
      </x:c>
      <x:c r="D5" s="18" t="str">
        <x:v>Mermaid/C4</x:v>
      </x:c>
      <x:c r="E5" s="18" t="str">
        <x:v>EMBEDDED</x:v>
      </x:c>
      <x:c r="F5" s="18" t="str">
        <x:v>wave1_content/diagrams/AAI-DGM-0004-THREE-PLANES.mmd</x:v>
      </x:c>
      <x:c r="G5" s="18" t="str">
        <x:v>wave1_content/diagrams/rendered/AAI-DGM-0004-THREE-PLANES.svg</x:v>
      </x:c>
      <x:c r="H5" s="18" t="str">
        <x:v>AAI-DOC-0102; Wave 1 DOCX</x:v>
      </x:c>
      <x:c r="I5" s="18" t="str"/>
      <x:c r="J5" s="18" t="str">
        <x:v>Architecture</x:v>
      </x:c>
    </x:row>
    <x:row r="6">
      <x:c r="A6" s="18" t="str">
        <x:v>AAI-DGM-0005</x:v>
      </x:c>
      <x:c r="B6" s="18" t="str">
        <x:v>Arquitectura local-first</x:v>
      </x:c>
      <x:c r="C6" s="18" t="str">
        <x:v>Architecture</x:v>
      </x:c>
      <x:c r="D6" s="18" t="str">
        <x:v>Mermaid/C4</x:v>
      </x:c>
      <x:c r="E6" s="18" t="str">
        <x:v>PLANNED</x:v>
      </x:c>
      <x:c r="F6" s="18" t="str"/>
      <x:c r="G6" s="18" t="str"/>
      <x:c r="H6" s="18" t="str"/>
      <x:c r="I6" s="18" t="str"/>
      <x:c r="J6" s="18" t="str">
        <x:v>Architecture</x:v>
      </x:c>
    </x:row>
    <x:row r="7">
      <x:c r="A7" s="18" t="str">
        <x:v>AAI-DGM-0006</x:v>
      </x:c>
      <x:c r="B7" s="18" t="str">
        <x:v>Módulos internos Spring Boot</x:v>
      </x:c>
      <x:c r="C7" s="18" t="str">
        <x:v>Architecture</x:v>
      </x:c>
      <x:c r="D7" s="18" t="str">
        <x:v>Mermaid/C4</x:v>
      </x:c>
      <x:c r="E7" s="18" t="str">
        <x:v>PLANNED</x:v>
      </x:c>
      <x:c r="F7" s="18" t="str"/>
      <x:c r="G7" s="18" t="str"/>
      <x:c r="H7" s="18" t="str"/>
      <x:c r="I7" s="18" t="str"/>
      <x:c r="J7" s="18" t="str">
        <x:v>Architecture</x:v>
      </x:c>
    </x:row>
    <x:row r="8">
      <x:c r="A8" s="18" t="str">
        <x:v>AAI-DGM-0007</x:v>
      </x:c>
      <x:c r="B8" s="18" t="str">
        <x:v>Modelo operativo de agentes</x:v>
      </x:c>
      <x:c r="C8" s="18" t="str">
        <x:v>Flow</x:v>
      </x:c>
      <x:c r="D8" s="18" t="str">
        <x:v>Mermaid/C4</x:v>
      </x:c>
      <x:c r="E8" s="18" t="str">
        <x:v>PLANNED</x:v>
      </x:c>
      <x:c r="F8" s="18" t="str"/>
      <x:c r="G8" s="18" t="str"/>
      <x:c r="H8" s="18" t="str"/>
      <x:c r="I8" s="18" t="str"/>
      <x:c r="J8" s="18" t="str">
        <x:v>Architecture</x:v>
      </x:c>
    </x:row>
    <x:row r="9">
      <x:c r="A9" s="18" t="str">
        <x:v>AAI-DGM-0008</x:v>
      </x:c>
      <x:c r="B9" s="18" t="str">
        <x:v>Handoff mediante Work Package</x:v>
      </x:c>
      <x:c r="C9" s="18" t="str">
        <x:v>Flow</x:v>
      </x:c>
      <x:c r="D9" s="18" t="str">
        <x:v>Mermaid/C4</x:v>
      </x:c>
      <x:c r="E9" s="18" t="str">
        <x:v>PLANNED</x:v>
      </x:c>
      <x:c r="F9" s="18" t="str"/>
      <x:c r="G9" s="18" t="str"/>
      <x:c r="H9" s="18" t="str"/>
      <x:c r="I9" s="18" t="str"/>
      <x:c r="J9" s="18" t="str">
        <x:v>Architecture</x:v>
      </x:c>
    </x:row>
    <x:row r="10">
      <x:c r="A10" s="18" t="str">
        <x:v>AAI-DGM-0009</x:v>
      </x:c>
      <x:c r="B10" s="18" t="str">
        <x:v>Resolución contextual y RAG</x:v>
      </x:c>
      <x:c r="C10" s="18" t="str">
        <x:v>Flow</x:v>
      </x:c>
      <x:c r="D10" s="18" t="str">
        <x:v>Mermaid/C4</x:v>
      </x:c>
      <x:c r="E10" s="18" t="str">
        <x:v>PLANNED</x:v>
      </x:c>
      <x:c r="F10" s="18" t="str"/>
      <x:c r="G10" s="18" t="str"/>
      <x:c r="H10" s="18" t="str"/>
      <x:c r="I10" s="18" t="str"/>
      <x:c r="J10" s="18" t="str">
        <x:v>Architecture</x:v>
      </x:c>
    </x:row>
    <x:row r="11">
      <x:c r="A11" s="18" t="str">
        <x:v>AAI-DGM-0010</x:v>
      </x:c>
      <x:c r="B11" s="18" t="str">
        <x:v>Ingesta gobernada</x:v>
      </x:c>
      <x:c r="C11" s="18" t="str">
        <x:v>Flow</x:v>
      </x:c>
      <x:c r="D11" s="18" t="str">
        <x:v>Mermaid/C4</x:v>
      </x:c>
      <x:c r="E11" s="18" t="str">
        <x:v>PLANNED</x:v>
      </x:c>
      <x:c r="F11" s="18" t="str"/>
      <x:c r="G11" s="18" t="str"/>
      <x:c r="H11" s="18" t="str"/>
      <x:c r="I11" s="18" t="str"/>
      <x:c r="J11" s="18" t="str">
        <x:v>Architecture</x:v>
      </x:c>
    </x:row>
    <x:row r="12">
      <x:c r="A12" s="18" t="str">
        <x:v>AAI-DGM-0011</x:v>
      </x:c>
      <x:c r="B12" s="18" t="str">
        <x:v>Discovered Knowledge a Canonical Knowledge</x:v>
      </x:c>
      <x:c r="C12" s="18" t="str">
        <x:v>Flow</x:v>
      </x:c>
      <x:c r="D12" s="18" t="str">
        <x:v>Mermaid/C4</x:v>
      </x:c>
      <x:c r="E12" s="18" t="str">
        <x:v>PLANNED</x:v>
      </x:c>
      <x:c r="F12" s="18" t="str"/>
      <x:c r="G12" s="18" t="str"/>
      <x:c r="H12" s="18" t="str"/>
      <x:c r="I12" s="18" t="str"/>
      <x:c r="J12" s="18" t="str">
        <x:v>Architecture</x:v>
      </x:c>
    </x:row>
    <x:row r="13">
      <x:c r="A13" s="18" t="str">
        <x:v>AAI-DGM-0012</x:v>
      </x:c>
      <x:c r="B13" s="18" t="str">
        <x:v>Promoción Git y proyecciones</x:v>
      </x:c>
      <x:c r="C13" s="18" t="str">
        <x:v>Flow</x:v>
      </x:c>
      <x:c r="D13" s="18" t="str">
        <x:v>Mermaid/C4</x:v>
      </x:c>
      <x:c r="E13" s="18" t="str">
        <x:v>PLANNED</x:v>
      </x:c>
      <x:c r="F13" s="18" t="str"/>
      <x:c r="G13" s="18" t="str"/>
      <x:c r="H13" s="18" t="str"/>
      <x:c r="I13" s="18" t="str"/>
      <x:c r="J13" s="18" t="str">
        <x:v>Architecture</x:v>
      </x:c>
    </x:row>
    <x:row r="14">
      <x:c r="A14" s="18" t="str">
        <x:v>AAI-DGM-0013</x:v>
      </x:c>
      <x:c r="B14" s="18" t="str">
        <x:v>Ciclo de vida de tarea</x:v>
      </x:c>
      <x:c r="C14" s="18" t="str">
        <x:v>Flow</x:v>
      </x:c>
      <x:c r="D14" s="18" t="str">
        <x:v>Mermaid State</x:v>
      </x:c>
      <x:c r="E14" s="18" t="str">
        <x:v>PLANNED</x:v>
      </x:c>
      <x:c r="F14" s="18" t="str"/>
      <x:c r="G14" s="18" t="str"/>
      <x:c r="H14" s="18" t="str"/>
      <x:c r="I14" s="18" t="str"/>
      <x:c r="J14" s="18" t="str">
        <x:v>Architecture</x:v>
      </x:c>
    </x:row>
    <x:row r="15">
      <x:c r="A15" s="18" t="str">
        <x:v>AAI-DGM-0014</x:v>
      </x:c>
      <x:c r="B15" s="18" t="str">
        <x:v>Projection Manager</x:v>
      </x:c>
      <x:c r="C15" s="18" t="str">
        <x:v>Flow</x:v>
      </x:c>
      <x:c r="D15" s="18" t="str">
        <x:v>Mermaid State</x:v>
      </x:c>
      <x:c r="E15" s="18" t="str">
        <x:v>PLANNED</x:v>
      </x:c>
      <x:c r="F15" s="18" t="str"/>
      <x:c r="G15" s="18" t="str"/>
      <x:c r="H15" s="18" t="str"/>
      <x:c r="I15" s="18" t="str"/>
      <x:c r="J15" s="18" t="str">
        <x:v>Architecture</x:v>
      </x:c>
    </x:row>
    <x:row r="16">
      <x:c r="A16" s="18" t="str">
        <x:v>AAI-DGM-0015</x:v>
      </x:c>
      <x:c r="B16" s="18" t="str">
        <x:v>Scheduler y Attention Manager</x:v>
      </x:c>
      <x:c r="C16" s="18" t="str">
        <x:v>Flow</x:v>
      </x:c>
      <x:c r="D16" s="18" t="str">
        <x:v>Mermaid/C4</x:v>
      </x:c>
      <x:c r="E16" s="18" t="str">
        <x:v>PLANNED</x:v>
      </x:c>
      <x:c r="F16" s="18" t="str"/>
      <x:c r="G16" s="18" t="str"/>
      <x:c r="H16" s="18" t="str"/>
      <x:c r="I16" s="18" t="str"/>
      <x:c r="J16" s="18" t="str">
        <x:v>Architecture</x:v>
      </x:c>
    </x:row>
    <x:row r="17">
      <x:c r="A17" s="18" t="str">
        <x:v>AAI-DGM-0016</x:v>
      </x:c>
      <x:c r="B17" s="18" t="str">
        <x:v>Publicación Confluence</x:v>
      </x:c>
      <x:c r="C17" s="18" t="str">
        <x:v>Flow</x:v>
      </x:c>
      <x:c r="D17" s="18" t="str">
        <x:v>Mermaid/C4</x:v>
      </x:c>
      <x:c r="E17" s="18" t="str">
        <x:v>PLANNED</x:v>
      </x:c>
      <x:c r="F17" s="18" t="str"/>
      <x:c r="G17" s="18" t="str"/>
      <x:c r="H17" s="18" t="str"/>
      <x:c r="I17" s="18" t="str"/>
      <x:c r="J17" s="18" t="str">
        <x:v>Architecture</x:v>
      </x:c>
    </x:row>
    <x:row r="18">
      <x:c r="A18" s="18" t="str">
        <x:v>AAI-DGM-0017</x:v>
      </x:c>
      <x:c r="B18" s="18" t="str">
        <x:v>Outlook y Teams</x:v>
      </x:c>
      <x:c r="C18" s="18" t="str">
        <x:v>Flow</x:v>
      </x:c>
      <x:c r="D18" s="18" t="str">
        <x:v>Mermaid/C4</x:v>
      </x:c>
      <x:c r="E18" s="18" t="str">
        <x:v>PLANNED</x:v>
      </x:c>
      <x:c r="F18" s="18" t="str"/>
      <x:c r="G18" s="18" t="str"/>
      <x:c r="H18" s="18" t="str"/>
      <x:c r="I18" s="18" t="str"/>
      <x:c r="J18" s="18" t="str">
        <x:v>Architecture</x:v>
      </x:c>
    </x:row>
    <x:row r="19">
      <x:c r="A19" s="18" t="str">
        <x:v>AAI-DGM-0018</x:v>
      </x:c>
      <x:c r="B19" s="18" t="str">
        <x:v>Modelo de conocimiento y grafo</x:v>
      </x:c>
      <x:c r="C19" s="18" t="str">
        <x:v>Flow</x:v>
      </x:c>
      <x:c r="D19" s="18" t="str">
        <x:v>Mermaid/C4</x:v>
      </x:c>
      <x:c r="E19" s="18" t="str">
        <x:v>PLANNED</x:v>
      </x:c>
      <x:c r="F19" s="18" t="str"/>
      <x:c r="G19" s="18" t="str"/>
      <x:c r="H19" s="18" t="str"/>
      <x:c r="I19" s="18" t="str"/>
      <x:c r="J19" s="18" t="str">
        <x:v>Architecture</x:v>
      </x:c>
    </x:row>
    <x:row r="20">
      <x:c r="A20" s="18" t="str">
        <x:v>AAI-DGM-0019</x:v>
      </x:c>
      <x:c r="B20" s="18" t="str">
        <x:v>Trust boundaries</x:v>
      </x:c>
      <x:c r="C20" s="18" t="str">
        <x:v>Security/Operations</x:v>
      </x:c>
      <x:c r="D20" s="18" t="str">
        <x:v>Mermaid/C4</x:v>
      </x:c>
      <x:c r="E20" s="18" t="str">
        <x:v>PLANNED</x:v>
      </x:c>
      <x:c r="F20" s="18" t="str"/>
      <x:c r="G20" s="18" t="str"/>
      <x:c r="H20" s="18" t="str"/>
      <x:c r="I20" s="18" t="str"/>
      <x:c r="J20" s="18" t="str">
        <x:v>Architecture</x:v>
      </x:c>
    </x:row>
    <x:row r="21">
      <x:c r="A21" s="18" t="str">
        <x:v>AAI-DGM-0020</x:v>
      </x:c>
      <x:c r="B21" s="18" t="str">
        <x:v>Amenazas y superficies de ataque</x:v>
      </x:c>
      <x:c r="C21" s="18" t="str">
        <x:v>Security/Operations</x:v>
      </x:c>
      <x:c r="D21" s="18" t="str">
        <x:v>Mermaid/C4</x:v>
      </x:c>
      <x:c r="E21" s="18" t="str">
        <x:v>PLANNED</x:v>
      </x:c>
      <x:c r="F21" s="18" t="str"/>
      <x:c r="G21" s="18" t="str"/>
      <x:c r="H21" s="18" t="str"/>
      <x:c r="I21" s="18" t="str"/>
      <x:c r="J21" s="18" t="str">
        <x:v>Architecture</x:v>
      </x:c>
    </x:row>
    <x:row r="22">
      <x:c r="A22" s="18" t="str">
        <x:v>AAI-DGM-0021</x:v>
      </x:c>
      <x:c r="B22" s="18" t="str">
        <x:v>Aprobación humana</x:v>
      </x:c>
      <x:c r="C22" s="18" t="str">
        <x:v>Security/Operations</x:v>
      </x:c>
      <x:c r="D22" s="18" t="str">
        <x:v>Mermaid/C4</x:v>
      </x:c>
      <x:c r="E22" s="18" t="str">
        <x:v>PLANNED</x:v>
      </x:c>
      <x:c r="F22" s="18" t="str"/>
      <x:c r="G22" s="18" t="str"/>
      <x:c r="H22" s="18" t="str"/>
      <x:c r="I22" s="18" t="str"/>
      <x:c r="J22" s="18" t="str">
        <x:v>Architecture</x:v>
      </x:c>
    </x:row>
    <x:row r="23">
      <x:c r="A23" s="18" t="str">
        <x:v>AAI-DGM-0022</x:v>
      </x:c>
      <x:c r="B23" s="18" t="str">
        <x:v>Migración local a OpenShift</x:v>
      </x:c>
      <x:c r="C23" s="18" t="str">
        <x:v>Security/Operations</x:v>
      </x:c>
      <x:c r="D23" s="18" t="str">
        <x:v>Mermaid/C4</x:v>
      </x:c>
      <x:c r="E23" s="18" t="str">
        <x:v>PLANNED</x:v>
      </x:c>
      <x:c r="F23" s="18" t="str"/>
      <x:c r="G23" s="18" t="str"/>
      <x:c r="H23" s="18" t="str"/>
      <x:c r="I23" s="18" t="str"/>
      <x:c r="J23" s="18" t="str">
        <x:v>Architecture</x:v>
      </x:c>
    </x:row>
    <x:row r="24">
      <x:c r="A24" s="18" t="str">
        <x:v>AAI-DGM-0023</x:v>
      </x:c>
      <x:c r="B24" s="18" t="str">
        <x:v>Observabilidad, evaluación y costos</x:v>
      </x:c>
      <x:c r="C24" s="18" t="str">
        <x:v>Security/Operations</x:v>
      </x:c>
      <x:c r="D24" s="18" t="str">
        <x:v>Mermaid/C4</x:v>
      </x:c>
      <x:c r="E24" s="18" t="str">
        <x:v>PLANNED</x:v>
      </x:c>
      <x:c r="F24" s="18" t="str"/>
      <x:c r="G24" s="18" t="str"/>
      <x:c r="H24" s="18" t="str"/>
      <x:c r="I24" s="18" t="str"/>
      <x:c r="J24" s="18" t="str">
        <x:v>Architecture</x:v>
      </x:c>
    </x:row>
    <x:row r="25">
      <x:c r="A25" s="18" t="str">
        <x:v>AAI-DGM-0024</x:v>
      </x:c>
      <x:c r="B25" s="18" t="str">
        <x:v>Plataforma bancaria México</x:v>
      </x:c>
      <x:c r="C25" s="18" t="str">
        <x:v>Security/Operations</x:v>
      </x:c>
      <x:c r="D25" s="18" t="str">
        <x:v>Mermaid/C4</x:v>
      </x:c>
      <x:c r="E25" s="18" t="str">
        <x:v>PLANNED</x:v>
      </x:c>
      <x:c r="F25" s="18" t="str"/>
      <x:c r="G25" s="18" t="str"/>
      <x:c r="H25" s="18" t="str"/>
      <x:c r="I25" s="18" t="str"/>
      <x:c r="J25" s="18" t="str">
        <x:v>Architecture</x:v>
      </x:c>
    </x:row>
    <x:row r="26">
      <x:c r="A26" s="18" t="str">
        <x:v>AAI-DGM-0025</x:v>
      </x:c>
      <x:c r="B26" s="18" t="str">
        <x:v>Vectores transversales interrelacionados</x:v>
      </x:c>
      <x:c r="C26" s="18" t="str">
        <x:v>Security/Operations</x:v>
      </x:c>
      <x:c r="D26" s="18" t="str">
        <x:v>Mermaid/C4</x:v>
      </x:c>
      <x:c r="E26" s="18" t="str">
        <x:v>EMBEDDED</x:v>
      </x:c>
      <x:c r="F26" s="18" t="str">
        <x:v>wave1_content/diagrams/AAI-DGM-0025-CROSS-VECTORS.mmd</x:v>
      </x:c>
      <x:c r="G26" s="18" t="str">
        <x:v>wave1_content/diagrams/rendered/AAI-DGM-0025-CROSS-VECTORS.svg</x:v>
      </x:c>
      <x:c r="H26" s="18" t="str">
        <x:v>AAI-DOC-0104; Wave 1 DOCX</x:v>
      </x:c>
      <x:c r="I26" s="18" t="str"/>
      <x:c r="J26" s="18" t="str">
        <x:v>Architecture</x:v>
      </x:c>
    </x:row>
    <x:row r="27">
      <x:c r="A27" s="18" t="str">
        <x:v>AAI-DGM-0026</x:v>
      </x:c>
      <x:c r="B27" s="18" t="str">
        <x:v>Contexto bootstrap de plataforma bancaria</x:v>
      </x:c>
      <x:c r="C27" s="18" t="str">
        <x:v>Security/Operations</x:v>
      </x:c>
      <x:c r="D27" s="18" t="str">
        <x:v>Mermaid/C4</x:v>
      </x:c>
      <x:c r="E27" s="18" t="str">
        <x:v>SOURCE_DRAFTED</x:v>
      </x:c>
      <x:c r="F27" s="18" t="str">
        <x:v>wave1_content/diagrams/AAI-DGM-0026-BANKING-CONTEXT.mmd</x:v>
      </x:c>
      <x:c r="G27" s="18" t="str"/>
      <x:c r="H27" s="18" t="str">
        <x:v>AAI-DOC-0701</x:v>
      </x:c>
      <x:c r="I27" s="18" t="str"/>
      <x:c r="J27" s="18" t="str">
        <x:v>Architecture</x:v>
      </x:c>
    </x:row>
    <x:row r="28">
      <x:c r="A28" s="18" t="str">
        <x:v>HK-DGM-0001</x:v>
      </x:c>
      <x:c r="B28" s="18" t="str">
        <x:v>Master Knowledge Compiler flow</x:v>
      </x:c>
      <x:c r="C28" s="18" t="str">
        <x:v>Knowledge Compiler</x:v>
      </x:c>
      <x:c r="D28" s="18" t="str">
        <x:v>Mermaid + SVG</x:v>
      </x:c>
      <x:c r="E28" s="18" t="str">
        <x:v>RENDERED</x:v>
      </x:c>
      <x:c r="F28" s="18" t="str">
        <x:v>happy-knowledge/diagrams/HK-DGM-0001-KNOWLEDGE-COMPILER.mmd</x:v>
      </x:c>
      <x:c r="G28" s="18" t="str">
        <x:v>happy-knowledge/diagrams/HK-DGM-0001-KNOWLEDGE-COMPILER.svg</x:v>
      </x:c>
      <x:c r="H28" s="18" t="str">
        <x:v>HAPPY-KNOW-00; HAPPY-KNOW-38</x:v>
      </x:c>
      <x:c r="I28" s="18" t="str">
        <x:v>AAI-DEC-0011</x:v>
      </x:c>
      <x:c r="J28" s="18" t="str">
        <x:v>Architecture</x:v>
      </x:c>
    </x:row>
    <x:row r="29">
      <x:c r="A29" s="18" t="str">
        <x:v>HK-DGM-0002</x:v>
      </x:c>
      <x:c r="B29" s="18" t="str">
        <x:v>Verifiable traceability chain</x:v>
      </x:c>
      <x:c r="C29" s="18" t="str">
        <x:v>Traceability</x:v>
      </x:c>
      <x:c r="D29" s="18" t="str">
        <x:v>Mermaid + SVG</x:v>
      </x:c>
      <x:c r="E29" s="18" t="str">
        <x:v>RENDERED</x:v>
      </x:c>
      <x:c r="F29" s="18" t="str">
        <x:v>happy-knowledge/diagrams/HK-DGM-0002-TRACEABILITY-CHAIN.mmd</x:v>
      </x:c>
      <x:c r="G29" s="18" t="str">
        <x:v>happy-knowledge/diagrams/HK-DGM-0002-TRACEABILITY-CHAIN.svg</x:v>
      </x:c>
      <x:c r="H29" s="18" t="str">
        <x:v>HAPPY-KNOW-24; HAPPY-KNOW-27</x:v>
      </x:c>
      <x:c r="I29" s="18" t="str"/>
      <x:c r="J29" s="18" t="str">
        <x:v>Architecture/QA</x:v>
      </x:c>
    </x:row>
    <x:row r="30">
      <x:c r="A30" s="18" t="str">
        <x:v>HK-DGM-0003</x:v>
      </x:c>
      <x:c r="B30" s="18" t="str">
        <x:v>Knowledge promotion lifecycle</x:v>
      </x:c>
      <x:c r="C30" s="18" t="str">
        <x:v>Knowledge</x:v>
      </x:c>
      <x:c r="D30" s="18" t="str">
        <x:v>Mermaid + SVG</x:v>
      </x:c>
      <x:c r="E30" s="18" t="str">
        <x:v>RENDERED</x:v>
      </x:c>
      <x:c r="F30" s="18" t="str">
        <x:v>happy-knowledge/diagrams/HK-DGM-0003-KNOWLEDGE-PROMOTION.mmd</x:v>
      </x:c>
      <x:c r="G30" s="18" t="str">
        <x:v>happy-knowledge/diagrams/HK-DGM-0003-KNOWLEDGE-PROMOTION.svg</x:v>
      </x:c>
      <x:c r="H30" s="18" t="str">
        <x:v>AAI-DOC-0501; HAPPY-KNOW-23</x:v>
      </x:c>
      <x:c r="I30" s="18" t="str">
        <x:v>AAI-DEC-0003; AAI-DEC-0009</x:v>
      </x:c>
      <x:c r="J30" s="18" t="str">
        <x:v>Architecture</x:v>
      </x:c>
    </x:row>
    <x:row r="31" ht="42" customHeight="1">
      <x:c r="A31" s="19" t="str">
        <x:v>HK-DGM-0004</x:v>
      </x:c>
      <x:c r="B31" s="19" t="str">
        <x:v>Canonical promotion state</x:v>
      </x:c>
      <x:c r="C31" s="19" t="str">
        <x:v>Knowledge/State</x:v>
      </x:c>
      <x:c r="D31" s="19" t="str">
        <x:v>Mermaid State</x:v>
      </x:c>
      <x:c r="E31" s="19" t="str">
        <x:v>SOURCE_DRAFTED</x:v>
      </x:c>
      <x:c r="F31" s="19" t="str">
        <x:v>happy-knowledge/diagrams/HK-DGM-0004-PROMOTION-STATE.mmd</x:v>
      </x:c>
      <x:c r="G31" s="19" t="str"/>
      <x:c r="H31" s="19" t="str">
        <x:v>AAI-SPEC-0004; HAPPY-KNOW-46</x:v>
      </x:c>
      <x:c r="I31" s="19" t="str">
        <x:v>AAI-DEC-0003; AAI-DEC-0009</x:v>
      </x:c>
      <x:c r="J31" s="19" t="str">
        <x:v>Architecture</x:v>
      </x:c>
    </x:row>
    <x:row r="32" ht="42" customHeight="1">
      <x:c r="A32" s="19" t="str">
        <x:v>HK-DGM-0005</x:v>
      </x:c>
      <x:c r="B32" s="19" t="str">
        <x:v>Context Resolver and Work Package flow</x:v>
      </x:c>
      <x:c r="C32" s="19" t="str">
        <x:v>Knowledge/Flow</x:v>
      </x:c>
      <x:c r="D32" s="19" t="str">
        <x:v>Mermaid Flow</x:v>
      </x:c>
      <x:c r="E32" s="19" t="str">
        <x:v>SOURCE_DRAFTED</x:v>
      </x:c>
      <x:c r="F32" s="19" t="str">
        <x:v>happy-knowledge/diagrams/HK-DGM-0005-WORK-PACKAGE-FLOW.mmd</x:v>
      </x:c>
      <x:c r="G32" s="19" t="str"/>
      <x:c r="H32" s="19" t="str">
        <x:v>AAI-SPEC-0005; HAPPY-KNOW-46</x:v>
      </x:c>
      <x:c r="I32" s="19" t="str">
        <x:v>AAI-DEC-0004</x:v>
      </x:c>
      <x:c r="J32" s="19" t="str">
        <x:v>Architecture</x:v>
      </x:c>
    </x:row>
    <x:row r="33" ht="42" customHeight="1">
      <x:c r="A33" s="19" t="str">
        <x:v>HK-DGM-0006</x:v>
      </x:c>
      <x:c r="B33" s="19" t="str">
        <x:v>Tool policy and approval flow</x:v>
      </x:c>
      <x:c r="C33" s="19" t="str">
        <x:v>Security/Flow</x:v>
      </x:c>
      <x:c r="D33" s="19" t="str">
        <x:v>Mermaid Flow</x:v>
      </x:c>
      <x:c r="E33" s="19" t="str">
        <x:v>SOURCE_DRAFTED</x:v>
      </x:c>
      <x:c r="F33" s="19" t="str">
        <x:v>happy-knowledge/diagrams/HK-DGM-0006-TOOL-POLICY-FLOW.mmd</x:v>
      </x:c>
      <x:c r="G33" s="19" t="str"/>
      <x:c r="H33" s="19" t="str">
        <x:v>AAI-SPEC-0006; HAPPY-KNOW-46</x:v>
      </x:c>
      <x:c r="I33" s="19" t="str">
        <x:v>AAI-DEC-0009; AAI-DEC-0015</x:v>
      </x:c>
      <x:c r="J33" s="19" t="str">
        <x:v>Security</x:v>
      </x:c>
    </x:row>
    <x:row r="34" ht="42" customHeight="1">
      <x:c r="A34" s="19" t="str">
        <x:v>HK-DGM-0007</x:v>
      </x:c>
      <x:c r="B34" s="19" t="str">
        <x:v>Governed ingestion state</x:v>
      </x:c>
      <x:c r="C34" s="19" t="str">
        <x:v>Knowledge/State</x:v>
      </x:c>
      <x:c r="D34" s="19" t="str">
        <x:v>Mermaid State</x:v>
      </x:c>
      <x:c r="E34" s="19" t="str">
        <x:v>SOURCE_DRAFTED</x:v>
      </x:c>
      <x:c r="F34" s="19" t="str">
        <x:v>happy-knowledge/diagrams/HK-DGM-0007-INGESTION-STATE.mmd</x:v>
      </x:c>
      <x:c r="G34" s="19" t="str"/>
      <x:c r="H34" s="19" t="str">
        <x:v>AAI-SPEC-0007; HAPPY-KNOW-46</x:v>
      </x:c>
      <x:c r="I34" s="19" t="str">
        <x:v>AAI-DEC-0009</x:v>
      </x:c>
      <x:c r="J34" s="19" t="str">
        <x:v>Knowledge</x:v>
      </x:c>
    </x:row>
    <x:row r="35" ht="42" customHeight="1">
      <x:c r="A35" s="19" t="str">
        <x:v>HK-DGM-0008</x:v>
      </x:c>
      <x:c r="B35" s="19" t="str">
        <x:v>Projection Manager state</x:v>
      </x:c>
      <x:c r="C35" s="19" t="str">
        <x:v>Data/State</x:v>
      </x:c>
      <x:c r="D35" s="19" t="str">
        <x:v>Mermaid State</x:v>
      </x:c>
      <x:c r="E35" s="19" t="str">
        <x:v>SOURCE_DRAFTED</x:v>
      </x:c>
      <x:c r="F35" s="19" t="str">
        <x:v>happy-knowledge/diagrams/HK-DGM-0008-PROJECTION-STATE.mmd</x:v>
      </x:c>
      <x:c r="G35" s="19" t="str"/>
      <x:c r="H35" s="19" t="str">
        <x:v>AAI-SPEC-0008; HAPPY-KNOW-46</x:v>
      </x:c>
      <x:c r="I35" s="19" t="str">
        <x:v>AAI-DEC-0003; AAI-DEC-0006</x:v>
      </x:c>
      <x:c r="J35" s="19" t="str">
        <x:v>Data/Operations</x:v>
      </x:c>
    </x:row>
    <x:row r="36" ht="44" customHeight="1">
      <x:c r="A36" s="19" t="str">
        <x:v>HK-DGM-0009</x:v>
      </x:c>
      <x:c r="B36" s="19" t="str">
        <x:v>Work lifecycle</x:v>
      </x:c>
      <x:c r="C36" s="19" t="str">
        <x:v>Operation/State</x:v>
      </x:c>
      <x:c r="D36" s="19" t="str">
        <x:v>Mermaid State</x:v>
      </x:c>
      <x:c r="E36" s="19" t="str">
        <x:v>SOURCE_DRAFTED</x:v>
      </x:c>
      <x:c r="F36" s="19" t="str">
        <x:v>happy-knowledge/diagrams/HK-DGM-0009-WORK-LIFECYCLE.mmd</x:v>
      </x:c>
      <x:c r="G36" s="19" t="str"/>
      <x:c r="H36" s="19" t="str">
        <x:v>AAI-SPEC-0009; HAPPY-KNOW-49</x:v>
      </x:c>
      <x:c r="I36" s="19" t="str">
        <x:v>AAI-DEC-0004; AAI-DEC-0015</x:v>
      </x:c>
      <x:c r="J36" s="19" t="str">
        <x:v>Architecture/Engineering</x:v>
      </x:c>
    </x:row>
    <x:row r="37" ht="44" customHeight="1">
      <x:c r="A37" s="19" t="str">
        <x:v>HK-DGM-0010</x:v>
      </x:c>
      <x:c r="B37" s="19" t="str">
        <x:v>Question lifecycle</x:v>
      </x:c>
      <x:c r="C37" s="19" t="str">
        <x:v>Knowledge/State</x:v>
      </x:c>
      <x:c r="D37" s="19" t="str">
        <x:v>Mermaid State</x:v>
      </x:c>
      <x:c r="E37" s="19" t="str">
        <x:v>SOURCE_DRAFTED</x:v>
      </x:c>
      <x:c r="F37" s="19" t="str">
        <x:v>happy-knowledge/diagrams/HK-DGM-0010-QUESTION-LIFECYCLE.mmd</x:v>
      </x:c>
      <x:c r="G37" s="19" t="str"/>
      <x:c r="H37" s="19" t="str">
        <x:v>AAI-SPEC-0010; HAPPY-KNOW-49</x:v>
      </x:c>
      <x:c r="I37" s="19" t="str">
        <x:v>AAI-DEC-0009; AAI-DEC-0015</x:v>
      </x:c>
      <x:c r="J37" s="19" t="str">
        <x:v>Architecture/Knowledge</x:v>
      </x:c>
    </x:row>
    <x:row r="38" ht="44" customHeight="1">
      <x:c r="A38" s="19" t="str">
        <x:v>HK-DGM-0011</x:v>
      </x:c>
      <x:c r="B38" s="19" t="str">
        <x:v>Autonomy and escalation gate</x:v>
      </x:c>
      <x:c r="C38" s="19" t="str">
        <x:v>Governance/Flow</x:v>
      </x:c>
      <x:c r="D38" s="19" t="str">
        <x:v>Mermaid Flow</x:v>
      </x:c>
      <x:c r="E38" s="19" t="str">
        <x:v>SOURCE_DRAFTED</x:v>
      </x:c>
      <x:c r="F38" s="19" t="str">
        <x:v>happy-knowledge/diagrams/HK-DGM-0011-AUTONOMY-ESCALATION.mmd</x:v>
      </x:c>
      <x:c r="G38" s="19" t="str"/>
      <x:c r="H38" s="19" t="str">
        <x:v>AAI-SPEC-0009; AAI-SPEC-0010; HAPPY-BOOT-0001</x:v>
      </x:c>
      <x:c r="I38" s="19" t="str">
        <x:v>AAI-DEC-0015</x:v>
      </x:c>
      <x:c r="J38" s="19" t="str">
        <x:v>Architecture</x:v>
      </x:c>
    </x:row>
    <x:row r="39" ht="44" customHeight="1">
      <x:c r="A39" s="19" t="str">
        <x:v>HK-DGM-0012</x:v>
      </x:c>
      <x:c r="B39" s="19" t="str">
        <x:v>State and evidence loop</x:v>
      </x:c>
      <x:c r="C39" s="19" t="str">
        <x:v>Traceability/Flow</x:v>
      </x:c>
      <x:c r="D39" s="19" t="str">
        <x:v>Mermaid Flow</x:v>
      </x:c>
      <x:c r="E39" s="19" t="str">
        <x:v>SOURCE_DRAFTED</x:v>
      </x:c>
      <x:c r="F39" s="19" t="str">
        <x:v>happy-knowledge/diagrams/HK-DGM-0012-STATE-EVIDENCE-LOOP.mmd</x:v>
      </x:c>
      <x:c r="G39" s="19" t="str"/>
      <x:c r="H39" s="19" t="str">
        <x:v>AAI-SPEC-0009; AAI-SPEC-0010; AAI-SPEC-0036; HAPPY-BOOT-0002</x:v>
      </x:c>
      <x:c r="I39" s="19" t="str">
        <x:v>AAI-DEC-0011; AAI-DEC-0013</x:v>
      </x:c>
      <x:c r="J39" s="19" t="str">
        <x:v>Architecture/QA</x:v>
      </x:c>
    </x:row>
    <x:row r="40" ht="44" customHeight="1">
      <x:c r="A40" s="19" t="str">
        <x:v>HK-DGM-0013</x:v>
      </x:c>
      <x:c r="B40" s="19" t="str">
        <x:v>Seed expansion cycle</x:v>
      </x:c>
      <x:c r="C40" s="19" t="str">
        <x:v>Seed/Flow</x:v>
      </x:c>
      <x:c r="D40" s="19" t="str">
        <x:v>Mermaid Flow</x:v>
      </x:c>
      <x:c r="E40" s="19" t="str">
        <x:v>SOURCE_DRAFTED</x:v>
      </x:c>
      <x:c r="F40" s="19" t="str">
        <x:v>happy-knowledge/diagrams/HK-DGM-0013-SEED-EXPANSION-CYCLE.mmd</x:v>
      </x:c>
      <x:c r="G40" s="19" t="str"/>
      <x:c r="H40" s="19" t="str">
        <x:v>HAPPY-KNOW-55/58</x:v>
      </x:c>
      <x:c r="I40" s="19" t="str">
        <x:v>AAI-DEC-0020..0023</x:v>
      </x:c>
      <x:c r="J40" s="19" t="str">
        <x:v>Architecture</x:v>
      </x:c>
    </x:row>
    <x:row r="41" ht="44" customHeight="1">
      <x:c r="A41" s="19" t="str">
        <x:v>HK-DGM-0014</x:v>
      </x:c>
      <x:c r="B41" s="19" t="str">
        <x:v>Capability autonomy critical path</x:v>
      </x:c>
      <x:c r="C41" s="19" t="str">
        <x:v>Capability/Dependency</x:v>
      </x:c>
      <x:c r="D41" s="19" t="str">
        <x:v>Mermaid Flow</x:v>
      </x:c>
      <x:c r="E41" s="19" t="str">
        <x:v>SOURCE_DRAFTED</x:v>
      </x:c>
      <x:c r="F41" s="19" t="str">
        <x:v>happy-knowledge/diagrams/HK-DGM-0014-CAPABILITY-AUTONOMY-CRITICAL-PATH.mmd</x:v>
      </x:c>
      <x:c r="G41" s="19" t="str"/>
      <x:c r="H41" s="19" t="str">
        <x:v>HAPPY-KNOW-57</x:v>
      </x:c>
      <x:c r="I41" s="19" t="str">
        <x:v>AAI-DEC-0020..0023</x:v>
      </x:c>
      <x:c r="J41" s="19" t="str">
        <x:v>Architecture</x:v>
      </x:c>
    </x:row>
    <x:row r="42" ht="44" customHeight="1">
      <x:c r="A42" s="19" t="str">
        <x:v>HK-DGM-0015</x:v>
      </x:c>
      <x:c r="B42" s="19" t="str">
        <x:v>Initial knowledge layers and vectors</x:v>
      </x:c>
      <x:c r="C42" s="19" t="str">
        <x:v>Knowledge/Model</x:v>
      </x:c>
      <x:c r="D42" s="19" t="str">
        <x:v>Mermaid Flow</x:v>
      </x:c>
      <x:c r="E42" s="19" t="str">
        <x:v>SOURCE_DRAFTED</x:v>
      </x:c>
      <x:c r="F42" s="19" t="str">
        <x:v>happy-knowledge/diagrams/HK-DGM-0015-INITIAL-KNOWLEDGE-LAYERS-VECTORS.mmd</x:v>
      </x:c>
      <x:c r="G42" s="19" t="str"/>
      <x:c r="H42" s="19" t="str">
        <x:v>HAPPY-KNOW-56</x:v>
      </x:c>
      <x:c r="I42" s="19" t="str">
        <x:v>AAI-DEC-0020..0023</x:v>
      </x:c>
      <x:c r="J42" s="19" t="str">
        <x:v>Architecture</x:v>
      </x:c>
    </x:row>
    <x:row r="43" ht="44" customHeight="1">
      <x:c r="A43" s="19" t="str">
        <x:v>HK-DGM-0016</x:v>
      </x:c>
      <x:c r="B43" s="19" t="str">
        <x:v>Seed cutover</x:v>
      </x:c>
      <x:c r="C43" s="19" t="str">
        <x:v>Handoff/Flow</x:v>
      </x:c>
      <x:c r="D43" s="19" t="str">
        <x:v>Mermaid Flow</x:v>
      </x:c>
      <x:c r="E43" s="19" t="str">
        <x:v>SOURCE_DRAFTED</x:v>
      </x:c>
      <x:c r="F43" s="19" t="str">
        <x:v>happy-knowledge/diagrams/HK-DGM-0016-SEED-CUTOVER.mmd</x:v>
      </x:c>
      <x:c r="G43" s="19" t="str"/>
      <x:c r="H43" s="19" t="str">
        <x:v>HAPPY-KNOW-60</x:v>
      </x:c>
      <x:c r="I43" s="19" t="str">
        <x:v>AAI-DEC-0020..0023</x:v>
      </x:c>
      <x:c r="J43" s="19" t="str">
        <x:v>Architecture</x:v>
      </x:c>
    </x:row>
    <x:row r="44" ht="44" customHeight="1">
      <x:c r="A44" s="19" t="str">
        <x:v>HK-DGM-0017</x:v>
      </x:c>
      <x:c r="B44" s="19" t="str">
        <x:v>Capability evolution routing</x:v>
      </x:c>
      <x:c r="C44" s="19" t="str">
        <x:v>Evolution/Decision</x:v>
      </x:c>
      <x:c r="D44" s="19" t="str">
        <x:v>Mermaid Flow</x:v>
      </x:c>
      <x:c r="E44" s="19" t="str">
        <x:v>SOURCE_DRAFTED</x:v>
      </x:c>
      <x:c r="F44" s="19" t="str">
        <x:v>happy-knowledge/diagrams/HK-DGM-0017-CAPABILITY-EVOLUTION-ROUTING.mmd</x:v>
      </x:c>
      <x:c r="G44" s="19" t="str"/>
      <x:c r="H44" s="19" t="str">
        <x:v>HAPPY-KNOW-58/59</x:v>
      </x:c>
      <x:c r="I44" s="19" t="str">
        <x:v>AAI-DEC-0020..0023</x:v>
      </x:c>
      <x:c r="J44" s="19" t="str">
        <x:v>Architecture</x:v>
      </x:c>
    </x:row>
    <x:row r="45" ht="44" customHeight="1">
      <x:c r="A45" s="19" t="str">
        <x:v>HK-DGM-0018</x:v>
      </x:c>
      <x:c r="B45" s="19" t="str">
        <x:v>Session restart equivalence</x:v>
      </x:c>
      <x:c r="C45" s="19" t="str">
        <x:v>Continuity/Flow</x:v>
      </x:c>
      <x:c r="D45" s="19" t="str">
        <x:v>Mermaid Flow</x:v>
      </x:c>
      <x:c r="E45" s="19" t="str">
        <x:v>SOURCE_DRAFTED</x:v>
      </x:c>
      <x:c r="F45" s="19" t="str">
        <x:v>happy-knowledge/diagrams/HK-DGM-0018-SESSION-RESTART-EQUIVALENCE.mmd</x:v>
      </x:c>
      <x:c r="G45" s="19" t="str"/>
      <x:c r="H45" s="19" t="str">
        <x:v>HAPPY-KNOW-57/61</x:v>
      </x:c>
      <x:c r="I45" s="19" t="str">
        <x:v>AAI-DEC-0020..0023</x:v>
      </x:c>
      <x:c r="J45" s="19" t="str">
        <x:v>Architecture</x:v>
      </x:c>
    </x:row>
  </x:sheetData>
  <x:dataValidations count="3">
    <x:dataValidation type="list" sqref="E2:E200">
      <x:formula1>"PLANNED,SOURCE_DRAFTED,RENDERED,TECHNICALLY_REVIEWED,APPROVED,EMBEDDED,SUPERSEDED"</x:formula1>
    </x:dataValidation>
    <x:dataValidation type="list" sqref="E2:E250">
      <x:formula1>"PLANNED,SOURCE_DRAFTED,RENDERED,TECHNICALLY_REVIEWED,APPROVED,EMBEDDED,SUPERSEDED"</x:formula1>
    </x:dataValidation>
    <x:dataValidation type="list" sqref="E2:E300">
      <x:formula1>"PLANNED,SOURCE_DRAFTED,RENDERED,TECHNICALLY_REVIEWED,APPROVED,EMBEDDED,SUPERSEDED"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38" hidden="0" customWidth="1"/>
    <x:col min="7" max="7" width="20" hidden="0" customWidth="1"/>
    <x:col min="8" max="8" width="55" hidden="0" customWidth="1"/>
  </x:cols>
  <x:sheetData>
    <x:row r="1">
      <x:c r="A1" s="5" t="str">
        <x:v>Issue ID</x:v>
      </x:c>
      <x:c r="B1" s="5" t="str">
        <x:v>Title</x:v>
      </x:c>
      <x:c r="C1" s="5" t="str">
        <x:v>Type</x:v>
      </x:c>
      <x:c r="D1" s="5" t="str">
        <x:v>Severity</x:v>
      </x:c>
      <x:c r="E1" s="5" t="str">
        <x:v>Status</x:v>
      </x:c>
      <x:c r="F1" s="5" t="str">
        <x:v>Related objects</x:v>
      </x:c>
      <x:c r="G1" s="5" t="str">
        <x:v>Owner</x:v>
      </x:c>
      <x:c r="H1" s="5" t="str">
        <x:v>Resolution / next step</x:v>
      </x:c>
    </x:row>
    <x:row r="2">
      <x:c r="A2" s="18" t="str">
        <x:v>AAI-ISS-0001</x:v>
      </x:c>
      <x:c r="B2" s="18" t="str">
        <x:v>JanusGraph baseline versus Neo4j direction</x:v>
      </x:c>
      <x:c r="C2" s="18" t="str">
        <x:v>CONTRADICTION</x:v>
      </x:c>
      <x:c r="D2" s="18" t="str">
        <x:v>HIGH</x:v>
      </x:c>
      <x:c r="E2" s="18" t="str">
        <x:v>OPEN</x:v>
      </x:c>
      <x:c r="F2" s="18" t="str">
        <x:v>AAI-DEC-0005; AAI-DOC-0502</x:v>
      </x:c>
      <x:c r="G2" s="18" t="str">
        <x:v>Architecture</x:v>
      </x:c>
      <x:c r="H2" s="18" t="str">
        <x:v>ADR deferred; first execute SER-008 and reconcile alternatives/code/drift</x:v>
      </x:c>
    </x:row>
    <x:row r="3">
      <x:c r="A3" s="18" t="str">
        <x:v>AAI-ISS-0002</x:v>
      </x:c>
      <x:c r="B3" s="18" t="str">
        <x:v>Raw historical chats not fully accessible</x:v>
      </x:c>
      <x:c r="C3" s="18" t="str">
        <x:v>SOURCE_GAP</x:v>
      </x:c>
      <x:c r="D3" s="18" t="str">
        <x:v>HIGH</x:v>
      </x:c>
      <x:c r="E3" s="18" t="str">
        <x:v>OPEN</x:v>
      </x:c>
      <x:c r="F3" s="18" t="str">
        <x:v>AAI-SRC-0013</x:v>
      </x:c>
      <x:c r="G3" s="18" t="str">
        <x:v>User/Architecture</x:v>
      </x:c>
      <x:c r="H3" s="18" t="str">
        <x:v>Ingest conversations.json or individual exports</x:v>
      </x:c>
    </x:row>
    <x:row r="4">
      <x:c r="A4" s="18" t="str">
        <x:v>AAI-ISS-0003</x:v>
      </x:c>
      <x:c r="B4" s="18" t="str">
        <x:v>Java 8 detected versus Java 21 required</x:v>
      </x:c>
      <x:c r="C4" s="18" t="str">
        <x:v>IMPLEMENTATION_BLOCKER</x:v>
      </x:c>
      <x:c r="D4" s="18" t="str">
        <x:v>CRITICAL</x:v>
      </x:c>
      <x:c r="E4" s="18" t="str">
        <x:v>OPEN</x:v>
      </x:c>
      <x:c r="F4" s="18" t="str">
        <x:v>AAI-EVD-0004</x:v>
      </x:c>
      <x:c r="G4" s="18" t="str">
        <x:v>Engineering</x:v>
      </x:c>
      <x:c r="H4" s="18" t="str">
        <x:v>Pin and verify Java 21</x:v>
      </x:c>
    </x:row>
    <x:row r="5">
      <x:c r="A5" s="18" t="str">
        <x:v>AAI-ISS-0004</x:v>
      </x:c>
      <x:c r="B5" s="18" t="str">
        <x:v>Existing tests not executed</x:v>
      </x:c>
      <x:c r="C5" s="18" t="str">
        <x:v>QUALITY_GAP</x:v>
      </x:c>
      <x:c r="D5" s="18" t="str">
        <x:v>HIGH</x:v>
      </x:c>
      <x:c r="E5" s="18" t="str">
        <x:v>OPEN</x:v>
      </x:c>
      <x:c r="F5" s="18" t="str">
        <x:v>AAI-DOC-0802</x:v>
      </x:c>
      <x:c r="G5" s="18" t="str">
        <x:v>QA</x:v>
      </x:c>
      <x:c r="H5" s="18" t="str">
        <x:v>Execute and evidence test suite</x:v>
      </x:c>
    </x:row>
    <x:row r="6">
      <x:c r="A6" s="18" t="str">
        <x:v>AAI-ISS-0005</x:v>
      </x:c>
      <x:c r="B6" s="18" t="str">
        <x:v>Desktop POC not connected end-to-end</x:v>
      </x:c>
      <x:c r="C6" s="18" t="str">
        <x:v>IMPLEMENTATION_GAP</x:v>
      </x:c>
      <x:c r="D6" s="18" t="str">
        <x:v>HIGH</x:v>
      </x:c>
      <x:c r="E6" s="18" t="str">
        <x:v>OPEN</x:v>
      </x:c>
      <x:c r="F6" s="18" t="str">
        <x:v>AAI-EVD-0008</x:v>
      </x:c>
      <x:c r="G6" s="18" t="str">
        <x:v>Engineering</x:v>
      </x:c>
      <x:c r="H6" s="18" t="str">
        <x:v>Verify contracts and connect flow</x:v>
      </x:c>
    </x:row>
    <x:row r="7">
      <x:c r="A7" s="18" t="str">
        <x:v>AAI-ISS-0006</x:v>
      </x:c>
      <x:c r="B7" s="18" t="str">
        <x:v>Exact 30 MCP tools and 16 skills not observed</x:v>
      </x:c>
      <x:c r="C7" s="18" t="str">
        <x:v>SOURCE_GAP</x:v>
      </x:c>
      <x:c r="D7" s="18" t="str">
        <x:v>HIGH</x:v>
      </x:c>
      <x:c r="E7" s="18" t="str">
        <x:v>OPEN</x:v>
      </x:c>
      <x:c r="F7" s="18" t="str">
        <x:v>HAPPY-KNOW-22; AAI-SRC-0008</x:v>
      </x:c>
      <x:c r="G7" s="18" t="str">
        <x:v>Engineering</x:v>
      </x:c>
      <x:c r="H7" s="18" t="str">
        <x:v>Inventory repo paths, schemas, agents and tests</x:v>
      </x:c>
    </x:row>
    <x:row r="8">
      <x:c r="A8" s="18" t="str">
        <x:v>AAI-ISS-0007</x:v>
      </x:c>
      <x:c r="B8" s="18" t="str">
        <x:v>Original Devin baseline and source repo not materialized</x:v>
      </x:c>
      <x:c r="C8" s="18" t="str">
        <x:v>SOURCE_GAP</x:v>
      </x:c>
      <x:c r="D8" s="18" t="str">
        <x:v>CRITICAL</x:v>
      </x:c>
      <x:c r="E8" s="18" t="str">
        <x:v>OPEN</x:v>
      </x:c>
      <x:c r="F8" s="18" t="str">
        <x:v>AAI-SRC-0008; HAPPY-KNOW-26</x:v>
      </x:c>
      <x:c r="G8" s="18" t="str">
        <x:v>User/Engineering</x:v>
      </x:c>
      <x:c r="H8" s="18" t="str">
        <x:v>Provide raw report and repository/commit</x:v>
      </x:c>
    </x:row>
    <x:row r="9">
      <x:c r="A9" s="18" t="str">
        <x:v>AAI-ISS-0008</x:v>
      </x:c>
      <x:c r="B9" s="18" t="str">
        <x:v>Vector store not selected and may be unnecessary</x:v>
      </x:c>
      <x:c r="C9" s="18" t="str">
        <x:v>OPEN_DECISION</x:v>
      </x:c>
      <x:c r="D9" s="18" t="str">
        <x:v>MEDIUM</x:v>
      </x:c>
      <x:c r="E9" s="18" t="str">
        <x:v>OPEN</x:v>
      </x:c>
      <x:c r="F9" s="18" t="str">
        <x:v>AAI-DOC-0503; AAI-DOC-0307</x:v>
      </x:c>
      <x:c r="G9" s="18" t="str">
        <x:v>Knowledge</x:v>
      </x:c>
      <x:c r="H9" s="18" t="str">
        <x:v>Benchmark lexical + graph before adoption</x:v>
      </x:c>
    </x:row>
    <x:row r="10">
      <x:c r="A10" s="18" t="str">
        <x:v>AAI-ISS-0009</x:v>
      </x:c>
      <x:c r="B10" s="18" t="str">
        <x:v>Devin Desktop and MCP transport compatibility unverified</x:v>
      </x:c>
      <x:c r="C10" s="18" t="str">
        <x:v>CAPABILITY_GAP</x:v>
      </x:c>
      <x:c r="D10" s="18" t="str">
        <x:v>HIGH</x:v>
      </x:c>
      <x:c r="E10" s="18" t="str">
        <x:v>OPEN</x:v>
      </x:c>
      <x:c r="F10" s="18" t="str">
        <x:v>AAI-SPEC-0003</x:v>
      </x:c>
      <x:c r="G10" s="18" t="str">
        <x:v>Engineering</x:v>
      </x:c>
      <x:c r="H10" s="18" t="str">
        <x:v>Execute extension/API/STDIO/HTTP spike</x:v>
      </x:c>
    </x:row>
    <x:row r="11">
      <x:c r="A11" s="18" t="str">
        <x:v>AAI-ISS-0010</x:v>
      </x:c>
      <x:c r="B11" s="18" t="str">
        <x:v>Source classification, retention, RTO/RPO incomplete</x:v>
      </x:c>
      <x:c r="C11" s="18" t="str">
        <x:v>GOVERNANCE_GAP</x:v>
      </x:c>
      <x:c r="D11" s="18" t="str">
        <x:v>HIGH</x:v>
      </x:c>
      <x:c r="E11" s="18" t="str">
        <x:v>OPEN</x:v>
      </x:c>
      <x:c r="F11" s="18" t="str">
        <x:v>AAI-DOC-0307; AAI-DOC-0601</x:v>
      </x:c>
      <x:c r="G11" s="18" t="str">
        <x:v>Security/Data/Ops</x:v>
      </x:c>
      <x:c r="H11" s="18" t="str">
        <x:v>Obtain institutional policies and owners</x:v>
      </x:c>
    </x:row>
    <x:row r="12">
      <x:c r="A12" s="18" t="str">
        <x:v>AAI-ISS-0011</x:v>
      </x:c>
      <x:c r="B12" s="18" t="str">
        <x:v>Neo4j license, deployment and migration gates open</x:v>
      </x:c>
      <x:c r="C12" s="18" t="str">
        <x:v>DECISION_GAP</x:v>
      </x:c>
      <x:c r="D12" s="18" t="str">
        <x:v>HIGH</x:v>
      </x:c>
      <x:c r="E12" s="18" t="str">
        <x:v>OPEN</x:v>
      </x:c>
      <x:c r="F12" s="18" t="str">
        <x:v>AAI-DEC-0005; AAI-EVD-0026</x:v>
      </x:c>
      <x:c r="G12" s="18" t="str">
        <x:v>Architecture/Legal</x:v>
      </x:c>
      <x:c r="H12" s="18" t="str">
        <x:v>Graph ADR NOT_READY; execute SER-008 before any final ADR</x:v>
      </x:c>
    </x:row>
    <x:row r="13">
      <x:c r="A13" s="18" t="str">
        <x:v>AAI-ISS-0012</x:v>
      </x:c>
      <x:c r="B13" s="18" t="str">
        <x:v>GLUON/Gravity Plus canonical catalog identity missing</x:v>
      </x:c>
      <x:c r="C13" s="18" t="str">
        <x:v>TERMINOLOGY_GAP</x:v>
      </x:c>
      <x:c r="D13" s="18" t="str">
        <x:v>MEDIUM</x:v>
      </x:c>
      <x:c r="E13" s="18" t="str">
        <x:v>OPEN</x:v>
      </x:c>
      <x:c r="F13" s="18" t="str">
        <x:v>AAI-EVD-0027; HAPPY-KNOW-32</x:v>
      </x:c>
      <x:c r="G13" s="18" t="str">
        <x:v>Bank platform owner</x:v>
      </x:c>
      <x:c r="H13" s="18" t="str">
        <x:v>Confirm official ID/name/scope</x:v>
      </x:c>
    </x:row>
    <x:row r="14">
      <x:c r="A14" s="18" t="str">
        <x:v>AAI-ISS-0013</x:v>
      </x:c>
      <x:c r="B14" s="18" t="str">
        <x:v>Events and APIs lack a canonical schema catalog</x:v>
      </x:c>
      <x:c r="C14" s="18" t="str">
        <x:v>SPECIFICATION_GAP</x:v>
      </x:c>
      <x:c r="D14" s="18" t="str">
        <x:v>HIGH</x:v>
      </x:c>
      <x:c r="E14" s="18" t="str">
        <x:v>OPEN</x:v>
      </x:c>
      <x:c r="F14" s="18" t="str">
        <x:v>HAPPY-KNOW-22; HAPPY-KNOW-23</x:v>
      </x:c>
      <x:c r="G14" s="18" t="str">
        <x:v>Architecture/Engineering</x:v>
      </x:c>
      <x:c r="H14" s="18" t="str">
        <x:v>Lifecycle envelope/schemas drafted for 0009/0010; final 0036 and MCP/API catalogs still require SER-002/004</x:v>
      </x:c>
    </x:row>
    <x:row r="15" ht="42" customHeight="1">
      <x:c r="A15" s="19" t="str">
        <x:v>AAI-ISS-0014</x:v>
      </x:c>
      <x:c r="B15" s="19" t="str">
        <x:v>Historic Sprint and Planning model not observed</x:v>
      </x:c>
      <x:c r="C15" s="19" t="str">
        <x:v>SOURCE_GAP</x:v>
      </x:c>
      <x:c r="D15" s="19" t="str">
        <x:v>HIGH</x:v>
      </x:c>
      <x:c r="E15" s="19" t="str">
        <x:v>OPEN</x:v>
      </x:c>
      <x:c r="F15" s="19" t="str">
        <x:v>AAI-SPEC-0037; SER-010</x:v>
      </x:c>
      <x:c r="G15" s="19" t="str">
        <x:v>Architecture/User</x:v>
      </x:c>
      <x:c r="H15" s="19" t="str">
        <x:v>Extract historic chats; preserve only current boundary meanwhile</x:v>
      </x:c>
    </x:row>
    <x:row r="16" ht="42" customHeight="1">
      <x:c r="A16" s="19" t="str">
        <x:v>AAI-ISS-0015</x:v>
      </x:c>
      <x:c r="B16" s="19" t="str">
        <x:v>Real Devin prompt sequence unresolved</x:v>
      </x:c>
      <x:c r="C16" s="19" t="str">
        <x:v>PROMPT_HISTORY_GAP</x:v>
      </x:c>
      <x:c r="D16" s="19" t="str">
        <x:v>HIGH</x:v>
      </x:c>
      <x:c r="E16" s="19" t="str">
        <x:v>OPEN</x:v>
      </x:c>
      <x:c r="F16" s="19" t="str">
        <x:v>HAPPY-KNOW-29; SER-012</x:v>
      </x:c>
      <x:c r="G16" s="19" t="str">
        <x:v>Architecture/User</x:v>
      </x:c>
      <x:c r="H16" s="19" t="str">
        <x:v>Recover prompt/run export; do not number a new prompt</x:v>
      </x:c>
    </x:row>
    <x:row r="17" ht="42" customHeight="1">
      <x:c r="A17" s="19" t="str">
        <x:v>AAI-ISS-0016</x:v>
      </x:c>
      <x:c r="B17" s="19" t="str">
        <x:v>Bootstrap runtime and Skill format not observed</x:v>
      </x:c>
      <x:c r="C17" s="19" t="str">
        <x:v>CAPABILITY_GAP</x:v>
      </x:c>
      <x:c r="D17" s="19" t="str">
        <x:v>HIGH</x:v>
      </x:c>
      <x:c r="E17" s="19" t="str">
        <x:v>OPEN</x:v>
      </x:c>
      <x:c r="F17" s="19" t="str">
        <x:v>HAPPY-KNOW-40; HAPPY-KNOW-42</x:v>
      </x:c>
      <x:c r="G17" s="19" t="str">
        <x:v>Engineering</x:v>
      </x:c>
      <x:c r="H17" s="19" t="str">
        <x:v>Four skeletons exist; validate target paths/loaders/capabilities through SER-002/005/009 before activation</x:v>
      </x:c>
    </x:row>
    <x:row r="18" ht="42" customHeight="1">
      <x:c r="A18" s="19" t="str">
        <x:v>AAI-ISS-0017</x:v>
      </x:c>
      <x:c r="B18" s="19" t="str">
        <x:v>No-Loss Review incomplete</x:v>
      </x:c>
      <x:c r="C18" s="19" t="str">
        <x:v>READINESS_GAP</x:v>
      </x:c>
      <x:c r="D18" s="19" t="str">
        <x:v>CRITICAL</x:v>
      </x:c>
      <x:c r="E18" s="19" t="str">
        <x:v>OPEN</x:v>
      </x:c>
      <x:c r="F18" s="19" t="str">
        <x:v>HAPPY-KNOW-44; AAI-DEC-0013</x:v>
      </x:c>
      <x:c r="G18" s="19" t="str">
        <x:v>Architecture/QA</x:v>
      </x:c>
      <x:c r="H18" s="19" t="str">
        <x:v>Close or explicitly accept all blocking source/traceability gaps</x:v>
      </x:c>
    </x:row>
    <x:row r="19" ht="42" customHeight="1">
      <x:c r="A19" s="19" t="str">
        <x:v>AAI-ISS-0018</x:v>
      </x:c>
      <x:c r="B19" s="19" t="str">
        <x:v>JSR, RFC and institutional standards corpus incomplete</x:v>
      </x:c>
      <x:c r="C19" s="19" t="str">
        <x:v>SOURCE_GAP</x:v>
      </x:c>
      <x:c r="D19" s="19" t="str">
        <x:v>MEDIUM</x:v>
      </x:c>
      <x:c r="E19" s="19" t="str">
        <x:v>OPEN</x:v>
      </x:c>
      <x:c r="F19" s="19" t="str">
        <x:v>SER-011; HAPPY-KNOW-44</x:v>
      </x:c>
      <x:c r="G19" s="19" t="str">
        <x:v>Architecture/Security</x:v>
      </x:c>
      <x:c r="H19" s="19" t="str">
        <x:v>Extract exact references and adoption status</x:v>
      </x:c>
    </x:row>
    <x:row r="20" ht="44" customHeight="1">
      <x:c r="A20" s="19" t="str">
        <x:v>AAI-ISS-0019</x:v>
      </x:c>
      <x:c r="B20" s="19" t="str">
        <x:v>Task and Question contracts lack implementation mapping</x:v>
      </x:c>
      <x:c r="C20" s="19" t="str">
        <x:v>IMPLEMENTATION_GAP</x:v>
      </x:c>
      <x:c r="D20" s="19" t="str">
        <x:v>HIGH</x:v>
      </x:c>
      <x:c r="E20" s="19" t="str">
        <x:v>OPEN</x:v>
      </x:c>
      <x:c r="F20" s="19" t="str">
        <x:v>AAI-SPEC-0009; AAI-SPEC-0010; SER-002</x:v>
      </x:c>
      <x:c r="G20" s="19" t="str">
        <x:v>Engineering</x:v>
      </x:c>
      <x:c r="H20" s="19" t="str">
        <x:v>Map entities, repositories, APIs, migrations, events and tests without elevating status</x:v>
      </x:c>
    </x:row>
    <x:row r="21" ht="44" customHeight="1">
      <x:c r="A21" s="19" t="str">
        <x:v>AAI-ISS-0020</x:v>
      </x:c>
      <x:c r="B21" s="19" t="str">
        <x:v>Lifecycle event transport and delivery semantics not observed</x:v>
      </x:c>
      <x:c r="C21" s="19" t="str">
        <x:v>SPECIFICATION_GAP</x:v>
      </x:c>
      <x:c r="D21" s="19" t="str">
        <x:v>HIGH</x:v>
      </x:c>
      <x:c r="E21" s="19" t="str">
        <x:v>OPEN</x:v>
      </x:c>
      <x:c r="F21" s="19" t="str">
        <x:v>AAI-SPEC-0036; SER-002</x:v>
      </x:c>
      <x:c r="G21" s="19" t="str">
        <x:v>Architecture/Engineering</x:v>
      </x:c>
      <x:c r="H21" s="19" t="str">
        <x:v>Recover producers/consumers/topics/ordering/retry/outbox before finalizing 0036</x:v>
      </x:c>
    </x:row>
    <x:row r="22" ht="44" customHeight="1">
      <x:c r="A22" s="19" t="str">
        <x:v>AAI-ISS-0021</x:v>
      </x:c>
      <x:c r="B22" s="19" t="str">
        <x:v>Seed bootstrap reproducibility not executed</x:v>
      </x:c>
      <x:c r="C22" s="19" t="str">
        <x:v>VALIDATION_GAP</x:v>
      </x:c>
      <x:c r="D22" s="19" t="str">
        <x:v>CRITICAL</x:v>
      </x:c>
      <x:c r="E22" s="19" t="str">
        <x:v>OPEN</x:v>
      </x:c>
      <x:c r="F22" s="19" t="str">
        <x:v>G3; SER-002/004/005/009</x:v>
      </x:c>
      <x:c r="G22" s="19" t="str">
        <x:v>Architecture/QA</x:v>
      </x:c>
      <x:c r="H22" s="19" t="str">
        <x:v>Execute only after final root/manifest/runtime access</x:v>
      </x:c>
    </x:row>
    <x:row r="23" ht="44" customHeight="1">
      <x:c r="A23" s="19" t="str">
        <x:v>AAI-ISS-0022</x:v>
      </x:c>
      <x:c r="B23" s="19" t="str">
        <x:v>Current-state reconciliation blocked by absent repo/runtime</x:v>
      </x:c>
      <x:c r="C23" s="19" t="str">
        <x:v>SOURCE_GAP</x:v>
      </x:c>
      <x:c r="D23" s="19" t="str">
        <x:v>CRITICAL</x:v>
      </x:c>
      <x:c r="E23" s="19" t="str">
        <x:v>OPEN</x:v>
      </x:c>
      <x:c r="F23" s="19" t="str">
        <x:v>G4; SER-002/003/006</x:v>
      </x:c>
      <x:c r="G23" s="19" t="str">
        <x:v>Engineering</x:v>
      </x:c>
      <x:c r="H23" s="19" t="str">
        <x:v>Observe repo/commit/runtime and produce evidence</x:v>
      </x:c>
    </x:row>
    <x:row r="24" ht="44" customHeight="1">
      <x:c r="A24" s="19" t="str">
        <x:v>AAI-ISS-0023</x:v>
      </x:c>
      <x:c r="B24" s="19" t="str">
        <x:v>Self-sufficiency prioritization model lacks calibrated weights</x:v>
      </x:c>
      <x:c r="C24" s="19" t="str">
        <x:v>MODEL_GAP</x:v>
      </x:c>
      <x:c r="D24" s="19" t="str">
        <x:v>HIGH</x:v>
      </x:c>
      <x:c r="E24" s="19" t="str">
        <x:v>OPEN</x:v>
      </x:c>
      <x:c r="F24" s="19" t="str">
        <x:v>G5; SER-010</x:v>
      </x:c>
      <x:c r="G24" s="19" t="str">
        <x:v>Architecture</x:v>
      </x:c>
      <x:c r="H24" s="19" t="str">
        <x:v>Keep conditional explanations; do not invent total order</x:v>
      </x:c>
    </x:row>
    <x:row r="25" ht="44" customHeight="1">
      <x:c r="A25" s="19" t="str">
        <x:v>AAI-ISS-0024</x:v>
      </x:c>
      <x:c r="B25" s="19" t="str">
        <x:v>Restart/resume equivalence not executed</x:v>
      </x:c>
      <x:c r="C25" s="19" t="str">
        <x:v>VALIDATION_GAP</x:v>
      </x:c>
      <x:c r="D25" s="19" t="str">
        <x:v>HIGH</x:v>
      </x:c>
      <x:c r="E25" s="19" t="str">
        <x:v>OPEN</x:v>
      </x:c>
      <x:c r="F25" s="19" t="str">
        <x:v>G10; SER-009</x:v>
      </x:c>
      <x:c r="G25" s="19" t="str">
        <x:v>Architecture/QA</x:v>
      </x:c>
      <x:c r="H25" s="19" t="str">
        <x:v>Run SEED-ACCEPT-001 Session A/B later</x:v>
      </x:c>
    </x:row>
    <x:row r="26" ht="44" customHeight="1">
      <x:c r="A26" s="19" t="str">
        <x:v>AAI-ISS-0025</x:v>
      </x:c>
      <x:c r="B26" s="19" t="str">
        <x:v>Final Seed root manifest/schema not assembled</x:v>
      </x:c>
      <x:c r="C26" s="19" t="str">
        <x:v>PACKAGE_GAP</x:v>
      </x:c>
      <x:c r="D26" s="19" t="str">
        <x:v>HIGH</x:v>
      </x:c>
      <x:c r="E26" s="19" t="str">
        <x:v>OPEN</x:v>
      </x:c>
      <x:c r="F26" s="19" t="str">
        <x:v>G11</x:v>
      </x:c>
      <x:c r="G26" s="19" t="str">
        <x:v>Architecture/Delivery</x:v>
      </x:c>
      <x:c r="H26" s="19" t="str">
        <x:v>Next block: root assembly after dedup/substitution</x:v>
      </x:c>
    </x:row>
    <x:row r="27" ht="44" customHeight="1">
      <x:c r="A27" s="19" t="str">
        <x:v>AAI-ISS-0026</x:v>
      </x:c>
      <x:c r="B27" s="19" t="str">
        <x:v>Staging repository access and snapshot not observed</x:v>
      </x:c>
      <x:c r="C27" s="19" t="str">
        <x:v>SOURCE_GAP</x:v>
      </x:c>
      <x:c r="D27" s="19" t="str">
        <x:v>MEDIUM</x:v>
      </x:c>
      <x:c r="E27" s="19" t="str">
        <x:v>OPEN</x:v>
      </x:c>
      <x:c r="F27" s="19" t="str">
        <x:v>SER-013</x:v>
      </x:c>
      <x:c r="G27" s="19" t="str">
        <x:v>Delivery</x:v>
      </x:c>
      <x:c r="H27" s="19" t="str">
        <x:v>Continue local ZIP; no sync claim</x:v>
      </x:c>
    </x:row>
    <x:row r="28" ht="44" customHeight="1">
      <x:c r="A28" s="19" t="str">
        <x:v>AAI-ISS-0027</x:v>
      </x:c>
      <x:c r="B28" s="19" t="str">
        <x:v>Standards-substitution matrix requires primary-source research</x:v>
      </x:c>
      <x:c r="C28" s="19" t="str">
        <x:v>RESEARCH_GAP</x:v>
      </x:c>
      <x:c r="D28" s="19" t="str">
        <x:v>HIGH</x:v>
      </x:c>
      <x:c r="E28" s="19" t="str">
        <x:v>OPEN</x:v>
      </x:c>
      <x:c r="F28" s="19" t="str">
        <x:v>RO-3C-001..020; SER-011</x:v>
      </x:c>
      <x:c r="G28" s="19" t="str">
        <x:v>Architecture</x:v>
      </x:c>
      <x:c r="H28" s="19" t="str">
        <x:v>Standard before custom; no adoption inference</x:v>
      </x:c>
    </x:row>
    <x:row r="29" ht="44" customHeight="1">
      <x:c r="A29" s="19" t="str">
        <x:v>AAI-ISS-0028</x:v>
      </x:c>
      <x:c r="B29" s="19" t="str">
        <x:v>Cross-cutting completeness applicability gate not executed</x:v>
      </x:c>
      <x:c r="C29" s="19" t="str">
        <x:v>VALIDATION_GAP</x:v>
      </x:c>
      <x:c r="D29" s="19" t="str">
        <x:v>HIGH</x:v>
      </x:c>
      <x:c r="E29" s="19" t="str">
        <x:v>OPEN</x:v>
      </x:c>
      <x:c r="F29" s="19" t="str">
        <x:v>G9; HAPPY-KNOW-63</x:v>
      </x:c>
      <x:c r="G29" s="19" t="str">
        <x:v>Architecture/QA</x:v>
      </x:c>
      <x:c r="H29" s="19" t="str">
        <x:v>Test during capability expansion</x:v>
      </x:c>
    </x:row>
    <x:row r="30" ht="44" customHeight="1">
      <x:c r="A30" s="19" t="str">
        <x:v>AAI-ISS-0029</x:v>
      </x:c>
      <x:c r="B30" s="19" t="str">
        <x:v>G2 full no-loss proof blocked</x:v>
      </x:c>
      <x:c r="C30" s="19" t="str">
        <x:v>SOURCE_GAP</x:v>
      </x:c>
      <x:c r="D30" s="19" t="str">
        <x:v>CRITICAL</x:v>
      </x:c>
      <x:c r="E30" s="19" t="str">
        <x:v>OPEN</x:v>
      </x:c>
      <x:c r="F30" s="19" t="str">
        <x:v>SER-001/011/012</x:v>
      </x:c>
      <x:c r="G30" s="19" t="str">
        <x:v>Knowledge</x:v>
      </x:c>
      <x:c r="H30" s="19" t="str">
        <x:v>Recover source/run/reference ledgers</x:v>
      </x:c>
    </x:row>
    <x:row r="31" ht="44" customHeight="1">
      <x:c r="A31" s="19" t="str">
        <x:v>AAI-ISS-0030</x:v>
      </x:c>
      <x:c r="B31" s="19" t="str">
        <x:v>G3/G10 clean bootstrap and restart not executed</x:v>
      </x:c>
      <x:c r="C31" s="19" t="str">
        <x:v>VALIDATION_GAP</x:v>
      </x:c>
      <x:c r="D31" s="19" t="str">
        <x:v>CRITICAL</x:v>
      </x:c>
      <x:c r="E31" s="19" t="str">
        <x:v>OPEN</x:v>
      </x:c>
      <x:c r="F31" s="19" t="str">
        <x:v>SER-009; FX-A/J</x:v>
      </x:c>
      <x:c r="G31" s="19" t="str">
        <x:v>Architecture/QA</x:v>
      </x:c>
      <x:c r="H31" s="19" t="str">
        <x:v>Execute two-session acceptance later</x:v>
      </x:c>
    </x:row>
    <x:row r="32" ht="44" customHeight="1">
      <x:c r="A32" s="19" t="str">
        <x:v>AAI-ISS-0031</x:v>
      </x:c>
      <x:c r="B32" s="19" t="str">
        <x:v>G4 current-state reconciliation blocked</x:v>
      </x:c>
      <x:c r="C32" s="19" t="str">
        <x:v>SOURCE_GAP</x:v>
      </x:c>
      <x:c r="D32" s="19" t="str">
        <x:v>CRITICAL</x:v>
      </x:c>
      <x:c r="E32" s="19" t="str">
        <x:v>OPEN</x:v>
      </x:c>
      <x:c r="F32" s="19" t="str">
        <x:v>SER-002/003/006</x:v>
      </x:c>
      <x:c r="G32" s="19" t="str">
        <x:v>Engineering</x:v>
      </x:c>
      <x:c r="H32" s="19" t="str">
        <x:v>Observe organizational repo/runtime</x:v>
      </x:c>
    </x:row>
    <x:row r="33" ht="44" customHeight="1">
      <x:c r="A33" s="19" t="str">
        <x:v>AAI-ISS-0032</x:v>
      </x:c>
      <x:c r="B33" s="19" t="str">
        <x:v>G5 exact priority remains incomplete</x:v>
      </x:c>
      <x:c r="C33" s="19" t="str">
        <x:v>MODEL/SOURCE_GAP</x:v>
      </x:c>
      <x:c r="D33" s="19" t="str">
        <x:v>HIGH</x:v>
      </x:c>
      <x:c r="E33" s="19" t="str">
        <x:v>OPEN</x:v>
      </x:c>
      <x:c r="F33" s="19" t="str">
        <x:v>SER-002/010</x:v>
      </x:c>
      <x:c r="G33" s="19" t="str">
        <x:v>Architecture</x:v>
      </x:c>
      <x:c r="H33" s="19" t="str">
        <x:v>Use candidate paths; do not invent weights</x:v>
      </x:c>
    </x:row>
    <x:row r="34" ht="44" customHeight="1">
      <x:c r="A34" s="19" t="str">
        <x:v>AAI-ISS-0033</x:v>
      </x:c>
      <x:c r="B34" s="19" t="str">
        <x:v>G9 applicability fixture not executed</x:v>
      </x:c>
      <x:c r="C34" s="19" t="str">
        <x:v>VALIDATION_GAP</x:v>
      </x:c>
      <x:c r="D34" s="19" t="str">
        <x:v>HIGH</x:v>
      </x:c>
      <x:c r="E34" s="19" t="str">
        <x:v>OPEN</x:v>
      </x:c>
      <x:c r="F34" s="19" t="str">
        <x:v>HAPPY-KNOW-75</x:v>
      </x:c>
      <x:c r="G34" s="19" t="str">
        <x:v>Architecture/QA</x:v>
      </x:c>
      <x:c r="H34" s="19" t="str">
        <x:v>Run matrix on supported expansion</x:v>
      </x:c>
    </x:row>
    <x:row r="35" ht="44" customHeight="1">
      <x:c r="A35" s="19" t="str">
        <x:v>AAI-ISS-0034</x:v>
      </x:c>
      <x:c r="B35" s="19" t="str">
        <x:v>SER-013 transport sync/equivalence incomplete</x:v>
      </x:c>
      <x:c r="C35" s="19" t="str">
        <x:v>DELIVERY_GAP</x:v>
      </x:c>
      <x:c r="D35" s="19" t="str">
        <x:v>MEDIUM</x:v>
      </x:c>
      <x:c r="E35" s="19" t="str">
        <x:v>OPEN</x:v>
      </x:c>
      <x:c r="F35" s="19" t="str">
        <x:v>SER-013</x:v>
      </x:c>
      <x:c r="G35" s="19" t="str">
        <x:v>Delivery</x:v>
      </x:c>
      <x:c r="H35" s="19" t="str">
        <x:v>Commit/fetch/compare receipts</x:v>
      </x:c>
    </x:row>
    <x:row r="36" ht="48" customHeight="1">
      <x:c r="A36" s="19" t="str">
        <x:v>AAI-ISS-0035</x:v>
      </x:c>
      <x:c r="B36" s="19" t="str">
        <x:v>Organizational domains/owners/authorities/capabilities not observed</x:v>
      </x:c>
      <x:c r="C36" s="19" t="str">
        <x:v>SOURCE/AUTHORITY_GAP</x:v>
      </x:c>
      <x:c r="D36" s="19" t="str">
        <x:v>CRITICAL</x:v>
      </x:c>
      <x:c r="E36" s="19" t="str">
        <x:v>OPEN</x:v>
      </x:c>
      <x:c r="F36" s="19" t="str">
        <x:v>SER-014</x:v>
      </x:c>
      <x:c r="G36" s="19" t="str">
        <x:v>Organization</x:v>
      </x:c>
      <x:c r="H36" s="19" t="str">
        <x:v>Ingest governed catalog; no authority inference</x:v>
      </x:c>
    </x:row>
    <x:row r="37" ht="48" customHeight="1">
      <x:c r="A37" s="19" t="str">
        <x:v>AAI-ISS-0036</x:v>
      </x:c>
      <x:c r="B37" s="19" t="str">
        <x:v>Deterministic maturity has no Harness/shadow evidence</x:v>
      </x:c>
      <x:c r="C37" s="19" t="str">
        <x:v>VALIDATION_GAP</x:v>
      </x:c>
      <x:c r="D37" s="19" t="str">
        <x:v>HIGH</x:v>
      </x:c>
      <x:c r="E37" s="19" t="str">
        <x:v>OPEN</x:v>
      </x:c>
      <x:c r="F37" s="19" t="str">
        <x:v>HK-GAP-0049; TST-0061</x:v>
      </x:c>
      <x:c r="G37" s="19" t="str">
        <x:v>Engineering/Domain Owner</x:v>
      </x:c>
      <x:c r="H37" s="19" t="str">
        <x:v>Observe, compare, shadow, verify and approve</x:v>
      </x:c>
    </x:row>
    <x:row r="38" ht="48" customHeight="1">
      <x:c r="A38" s="19" t="str">
        <x:v>AAI-ISS-0037</x:v>
      </x:c>
      <x:c r="B38" s="19" t="str">
        <x:v>Assurance/decomposition standards fit unresolved</x:v>
      </x:c>
      <x:c r="C38" s="19" t="str">
        <x:v>RESEARCH_GAP</x:v>
      </x:c>
      <x:c r="D38" s="19" t="str">
        <x:v>MEDIUM</x:v>
      </x:c>
      <x:c r="E38" s="19" t="str">
        <x:v>OPEN</x:v>
      </x:c>
      <x:c r="F38" s="19" t="str">
        <x:v>RO-3E-001..003</x:v>
      </x:c>
      <x:c r="G38" s="19" t="str">
        <x:v>Architecture/Research</x:v>
      </x:c>
      <x:c r="H38" s="19" t="str">
        <x:v>Execute bounded primary-source research post-handoff</x:v>
      </x:c>
    </x:row>
    <x:row r="39" ht="48" customHeight="1">
      <x:c r="A39" s="19" t="str">
        <x:v>AAI-ISS-0038</x:v>
      </x:c>
      <x:c r="B39" s="19" t="str">
        <x:v>Domain UX/context profiles lack personas and permissions</x:v>
      </x:c>
      <x:c r="C39" s="19" t="str">
        <x:v>PRODUCT/SOURCE_GAP</x:v>
      </x:c>
      <x:c r="D39" s="19" t="str">
        <x:v>HIGH</x:v>
      </x:c>
      <x:c r="E39" s="19" t="str">
        <x:v>OPEN</x:v>
      </x:c>
      <x:c r="F39" s="19" t="str">
        <x:v>RO-3C-013; SER-014</x:v>
      </x:c>
      <x:c r="G39" s="19" t="str">
        <x:v>Product/Domain</x:v>
      </x:c>
      <x:c r="H39" s="19" t="str">
        <x:v>Research and validate projections</x:v>
      </x:c>
    </x:row>
    <x:row r="40" ht="48" customHeight="1">
      <x:c r="A40" s="19" t="str">
        <x:v>AAI-ISS-0039</x:v>
      </x:c>
      <x:c r="B40" s="19" t="str">
        <x:v>JavaFizz/SpecFizz definition not observed</x:v>
      </x:c>
      <x:c r="C40" s="19" t="str">
        <x:v>TERMINOLOGY_GAP</x:v>
      </x:c>
      <x:c r="D40" s="19" t="str">
        <x:v>MEDIUM</x:v>
      </x:c>
      <x:c r="E40" s="19" t="str">
        <x:v>OPEN</x:v>
      </x:c>
      <x:c r="F40" s="19" t="str">
        <x:v>SER-001; HK-GAP-0053</x:v>
      </x:c>
      <x:c r="G40" s="19" t="str">
        <x:v>Knowledge</x:v>
      </x:c>
      <x:c r="H40" s="19" t="str">
        <x:v>Recover source; do not invent meaning</x:v>
      </x:c>
    </x:row>
    <x:row r="41" ht="50" customHeight="1">
      <x:c r="A41" s="19" t="str">
        <x:v>AAI-ISS-0040</x:v>
      </x:c>
      <x:c r="B41" s="19" t="str">
        <x:v>Clean BootstrapReceipt not executed</x:v>
      </x:c>
      <x:c r="C41" s="19" t="str">
        <x:v>ACCEPTANCE_GAP</x:v>
      </x:c>
      <x:c r="D41" s="19" t="str">
        <x:v>CRITICAL</x:v>
      </x:c>
      <x:c r="E41" s="19" t="str">
        <x:v>OPEN</x:v>
      </x:c>
      <x:c r="F41" s="19" t="str">
        <x:v>SER-009; HK-GAP-0055</x:v>
      </x:c>
      <x:c r="G41" s="19" t="str">
        <x:v>Bootstrap</x:v>
      </x:c>
      <x:c r="H41" s="19" t="str">
        <x:v>Execute with clean authorized session</x:v>
      </x:c>
    </x:row>
    <x:row r="42" ht="50" customHeight="1">
      <x:c r="A42" s="19" t="str">
        <x:v>AAI-ISS-0041</x:v>
      </x:c>
      <x:c r="B42" s="19" t="str">
        <x:v>Implementation repository and original baseline absent</x:v>
      </x:c>
      <x:c r="C42" s="19" t="str">
        <x:v>SOURCE_GAP</x:v>
      </x:c>
      <x:c r="D42" s="19" t="str">
        <x:v>CRITICAL</x:v>
      </x:c>
      <x:c r="E42" s="19" t="str">
        <x:v>OPEN</x:v>
      </x:c>
      <x:c r="F42" s="19" t="str">
        <x:v>SER-002/003</x:v>
      </x:c>
      <x:c r="G42" s="19" t="str">
        <x:v>Engineering</x:v>
      </x:c>
      <x:c r="H42" s="19" t="str">
        <x:v>Provide repo/commit and original report</x:v>
      </x:c>
    </x:row>
    <x:row r="43" ht="50" customHeight="1">
      <x:c r="A43" s="19" t="str">
        <x:v>AAI-ISS-0042</x:v>
      </x:c>
      <x:c r="B43" s="19" t="str">
        <x:v>Java 21 build/tests/runtime not verified</x:v>
      </x:c>
      <x:c r="C43" s="19" t="str">
        <x:v>VERIFICATION_GAP</x:v>
      </x:c>
      <x:c r="D43" s="19" t="str">
        <x:v>CRITICAL</x:v>
      </x:c>
      <x:c r="E43" s="19" t="str">
        <x:v>OPEN</x:v>
      </x:c>
      <x:c r="F43" s="19" t="str">
        <x:v>SER-006</x:v>
      </x:c>
      <x:c r="G43" s="19" t="str">
        <x:v>Engineering</x:v>
      </x:c>
      <x:c r="H43" s="19" t="str">
        <x:v>Run reproducibly on identified commit</x:v>
      </x:c>
    </x:row>
    <x:row r="44" ht="50" customHeight="1">
      <x:c r="A44" s="19" t="str">
        <x:v>AAI-ISS-0043</x:v>
      </x:c>
      <x:c r="B44" s="19" t="str">
        <x:v>Deterministic assurance/view toolchain not selected</x:v>
      </x:c>
      <x:c r="C44" s="19" t="str">
        <x:v>RESEARCH_GAP</x:v>
      </x:c>
      <x:c r="D44" s="19" t="str">
        <x:v>HIGH</x:v>
      </x:c>
      <x:c r="E44" s="19" t="str">
        <x:v>OPEN</x:v>
      </x:c>
      <x:c r="F44" s="19" t="str">
        <x:v>RO-ACCEPT-001</x:v>
      </x:c>
      <x:c r="G44" s="19" t="str">
        <x:v>Architecture/Research</x:v>
      </x:c>
      <x:c r="H44" s="19" t="str">
        <x:v>Evaluate only after repo/build evidence</x:v>
      </x:c>
    </x:row>
    <x:row r="45" ht="50" customHeight="1">
      <x:c r="A45" s="19" t="str">
        <x:v>AAI-ISS-0044</x:v>
      </x:c>
      <x:c r="B45" s="19" t="str">
        <x:v>Self-Knowledge/Documentation and Ingestion milestones unimplemented</x:v>
      </x:c>
      <x:c r="C45" s="19" t="str">
        <x:v>CAPABILITY_GAP</x:v>
      </x:c>
      <x:c r="D45" s="19" t="str">
        <x:v>HIGH</x:v>
      </x:c>
      <x:c r="E45" s="19" t="str">
        <x:v>OPEN</x:v>
      </x:c>
      <x:c r="F45" s="19" t="str">
        <x:v>EXP-ACCEPT-001/002</x:v>
      </x:c>
      <x:c r="G45" s="19" t="str">
        <x:v>Post-handoff Engineering</x:v>
      </x:c>
      <x:c r="H45" s="19" t="str">
        <x:v>Expand after reconciliation</x:v>
      </x:c>
    </x:row>
    <x:row r="46" ht="50" customHeight="1">
      <x:c r="A46" s="19" t="str">
        <x:v>AAI-ISS-0045</x:v>
      </x:c>
      <x:c r="B46" s="19" t="str">
        <x:v>Executable frontier and restart equivalence unverified</x:v>
      </x:c>
      <x:c r="C46" s="19" t="str">
        <x:v>PLANNING/TEST_GAP</x:v>
      </x:c>
      <x:c r="D46" s="19" t="str">
        <x:v>HIGH</x:v>
      </x:c>
      <x:c r="E46" s="19" t="str">
        <x:v>OPEN</x:v>
      </x:c>
      <x:c r="F46" s="19" t="str">
        <x:v>EXP-ACCEPT-003; TST-0072/0073</x:v>
      </x:c>
      <x:c r="G46" s="19" t="str">
        <x:v>Post-handoff Engineering</x:v>
      </x:c>
      <x:c r="H46" s="19" t="str">
        <x:v>Run FX-O/P and Session A/B</x:v>
      </x:c>
    </x:row>
    <x:row r="47" ht="50" customHeight="1">
      <x:c r="A47" s="19" t="str">
        <x:v>AAI-ISS-0046</x:v>
      </x:c>
      <x:c r="B47" s="19" t="str">
        <x:v>Environment topology and allowed operations unobserved</x:v>
      </x:c>
      <x:c r="C47" s="19" t="str">
        <x:v>SOURCE/AUTHORITY_GAP</x:v>
      </x:c>
      <x:c r="D47" s="19" t="str">
        <x:v>CRITICAL</x:v>
      </x:c>
      <x:c r="E47" s="19" t="str">
        <x:v>OPEN</x:v>
      </x:c>
      <x:c r="F47" s="19" t="str">
        <x:v>SER-002/007/009/014</x:v>
      </x:c>
      <x:c r="G47" s="19" t="str">
        <x:v>Platform/Owners</x:v>
      </x:c>
      <x:c r="H47" s="19" t="str">
        <x:v>Discover without mutation</x:v>
      </x:c>
    </x:row>
    <x:row r="48" ht="50" customHeight="1">
      <x:c r="A48" s="19" t="str">
        <x:v>AAI-ISS-0047</x:v>
      </x:c>
      <x:c r="B48" s="19" t="str">
        <x:v>Institutional delivery/ALM path unobserved</x:v>
      </x:c>
      <x:c r="C48" s="19" t="str">
        <x:v>SOURCE/DELIVERY_GAP</x:v>
      </x:c>
      <x:c r="D48" s="19" t="str">
        <x:v>HIGH</x:v>
      </x:c>
      <x:c r="E48" s="19" t="str">
        <x:v>OPEN</x:v>
      </x:c>
      <x:c r="F48" s="19" t="str">
        <x:v>EXP-ACCEPT-004</x:v>
      </x:c>
      <x:c r="G48" s="19" t="str">
        <x:v>DevOps/Platform</x:v>
      </x:c>
      <x:c r="H48" s="19" t="str">
        <x:v>Discover and reuse before custom</x:v>
      </x:c>
    </x:row>
    <x:row r="49" ht="50" customHeight="1">
      <x:c r="A49" s="19" t="str">
        <x:v>AAI-ISS-0048</x:v>
      </x:c>
      <x:c r="B49" s="19" t="str">
        <x:v>Cross-environment assurance not executed</x:v>
      </x:c>
      <x:c r="C49" s="19" t="str">
        <x:v>ASSURANCE_GAP</x:v>
      </x:c>
      <x:c r="D49" s="19" t="str">
        <x:v>HIGH</x:v>
      </x:c>
      <x:c r="E49" s="19" t="str">
        <x:v>OPEN</x:v>
      </x:c>
      <x:c r="F49" s="19" t="str">
        <x:v>EXP-ACCEPT-005; FX-R</x:v>
      </x:c>
      <x:c r="G49" s="19" t="str">
        <x:v>Post-handoff Engineering</x:v>
      </x:c>
      <x:c r="H49" s="19" t="str">
        <x:v>Run only with explicit authority</x:v>
      </x:c>
    </x:row>
    <x:row r="50" ht="50" customHeight="1">
      <x:c r="A50" s="19" t="str">
        <x:v>AAI-ISS-0049</x:v>
      </x:c>
      <x:c r="B50" s="19" t="str">
        <x:v>Adoption readiness profiles/evidence absent</x:v>
      </x:c>
      <x:c r="C50" s="19" t="str">
        <x:v>ADOPTION_GAP</x:v>
      </x:c>
      <x:c r="D50" s="19" t="str">
        <x:v>CRITICAL</x:v>
      </x:c>
      <x:c r="E50" s="19" t="str">
        <x:v>OPEN</x:v>
      </x:c>
      <x:c r="F50" s="19" t="str">
        <x:v>EXP-ACCEPT-006; FX-S</x:v>
      </x:c>
      <x:c r="G50" s="19" t="str">
        <x:v>Product/Architecture/Owners</x:v>
      </x:c>
      <x:c r="H50" s="19" t="str">
        <x:v>Approve criteria and execute evidence</x:v>
      </x:c>
    </x:row>
    <x:row r="51" ht="50" customHeight="1">
      <x:c r="A51" s="19" t="str">
        <x:v>AAI-ISS-0050</x:v>
      </x:c>
      <x:c r="B51" s="19" t="str">
        <x:v>Multi-architect allocation/collaboration unobserved</x:v>
      </x:c>
      <x:c r="C51" s="19" t="str">
        <x:v>WORK/ORG_GAP</x:v>
      </x:c>
      <x:c r="D51" s="19" t="str">
        <x:v>HIGH</x:v>
      </x:c>
      <x:c r="E51" s="19" t="str">
        <x:v>OPEN</x:v>
      </x:c>
      <x:c r="F51" s="19" t="str">
        <x:v>SER-002/010/014; FX-T</x:v>
      </x:c>
      <x:c r="G51" s="19" t="str">
        <x:v>Architecture/Engineering</x:v>
      </x:c>
      <x:c r="H51" s="19" t="str">
        <x:v>Reconcile users/resources/controls</x:v>
      </x:c>
    </x:row>
    <x:row r="52" ht="50" customHeight="1">
      <x:c r="A52" s="19" t="str">
        <x:v>AAI-ISS-0051</x:v>
      </x:c>
      <x:c r="B52" s="19" t="str">
        <x:v>Architect usability/cognitive-load evidence absent</x:v>
      </x:c>
      <x:c r="C52" s="19" t="str">
        <x:v>UX/ADOPTION_GAP</x:v>
      </x:c>
      <x:c r="D52" s="19" t="str">
        <x:v>HIGH</x:v>
      </x:c>
      <x:c r="E52" s="19" t="str">
        <x:v>OPEN</x:v>
      </x:c>
      <x:c r="F52" s="19" t="str">
        <x:v>EXP-ACCEPT-009; RO-3C-013</x:v>
      </x:c>
      <x:c r="G52" s="19" t="str">
        <x:v>Product/Users</x:v>
      </x:c>
      <x:c r="H52" s="19" t="str">
        <x:v>Run role-specific usability research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62" hidden="0" customWidth="1"/>
    <x:col min="4" max="4" width="45" hidden="0" customWidth="1"/>
    <x:col min="5" max="5" width="22" hidden="0" customWidth="1"/>
    <x:col min="6" max="6" width="22" hidden="0" customWidth="1"/>
  </x:cols>
  <x:sheetData>
    <x:row r="1">
      <x:c r="A1" s="5" t="str">
        <x:v>Term ID</x:v>
      </x:c>
      <x:c r="B1" s="5" t="str">
        <x:v>Canonical term</x:v>
      </x:c>
      <x:c r="C1" s="5" t="str">
        <x:v>Definition</x:v>
      </x:c>
      <x:c r="D1" s="5" t="str">
        <x:v>Aliases / avoid</x:v>
      </x:c>
      <x:c r="E1" s="5" t="str">
        <x:v>Status</x:v>
      </x:c>
      <x:c r="F1" s="5" t="str">
        <x:v>Source</x:v>
      </x:c>
    </x:row>
    <x:row r="2">
      <x:c r="A2" s="18" t="str">
        <x:v>AAI-TERM-0001</x:v>
      </x:c>
      <x:c r="B2" s="18" t="str">
        <x:v>Architecture AI</x:v>
      </x:c>
      <x:c r="C2" s="18" t="str">
        <x:v>Institutional architecture intelligence platform that complements Devin</x:v>
      </x:c>
      <x:c r="D2" s="18" t="str">
        <x:v>Architecture Copilot</x:v>
      </x:c>
      <x:c r="E2" s="18" t="str">
        <x:v>DRAFT</x:v>
      </x:c>
      <x:c r="F2" s="18" t="str">
        <x:v>AAI-SRC-0001</x:v>
      </x:c>
    </x:row>
    <x:row r="3">
      <x:c r="A3" s="18" t="str">
        <x:v>AAI-TERM-0002</x:v>
      </x:c>
      <x:c r="B3" s="18" t="str">
        <x:v>Devin</x:v>
      </x:c>
      <x:c r="C3" s="18" t="str">
        <x:v>General agentic intelligence and execution coordinator</x:v>
      </x:c>
      <x:c r="D3" s="18" t="str">
        <x:v>Do not equate with Architecture AI</x:v>
      </x:c>
      <x:c r="E3" s="18" t="str">
        <x:v>DRAFT</x:v>
      </x:c>
      <x:c r="F3" s="18" t="str">
        <x:v>AAI-SRC-0001</x:v>
      </x:c>
    </x:row>
    <x:row r="4">
      <x:c r="A4" s="18" t="str">
        <x:v>AAI-TERM-0003</x:v>
      </x:c>
      <x:c r="B4" s="18" t="str">
        <x:v>Architecture Work Package</x:v>
      </x:c>
      <x:c r="C4" s="18" t="str">
        <x:v>Context-rich execution contract associated with a taskId</x:v>
      </x:c>
      <x:c r="D4" s="18" t="str">
        <x:v>AWP</x:v>
      </x:c>
      <x:c r="E4" s="18" t="str">
        <x:v>DRAFT</x:v>
      </x:c>
      <x:c r="F4" s="18" t="str">
        <x:v>AAI-SRC-0001</x:v>
      </x:c>
    </x:row>
    <x:row r="5">
      <x:c r="A5" s="18" t="str">
        <x:v>AAI-TERM-0004</x:v>
      </x:c>
      <x:c r="B5" s="18" t="str">
        <x:v>Canonical knowledge</x:v>
      </x:c>
      <x:c r="C5" s="18" t="str">
        <x:v>Approved knowledge versioned and backed by Git</x:v>
      </x:c>
      <x:c r="D5" s="18" t="str">
        <x:v>Canonical Graph</x:v>
      </x:c>
      <x:c r="E5" s="18" t="str">
        <x:v>DRAFT</x:v>
      </x:c>
      <x:c r="F5" s="18" t="str">
        <x:v>AAI-SRC-0001</x:v>
      </x:c>
    </x:row>
    <x:row r="6">
      <x:c r="A6" s="18" t="str">
        <x:v>AAI-TERM-0005</x:v>
      </x:c>
      <x:c r="B6" s="18" t="str">
        <x:v>Discovered knowledge</x:v>
      </x:c>
      <x:c r="C6" s="18" t="str">
        <x:v>New or inferred knowledge pending validation</x:v>
      </x:c>
      <x:c r="D6" s="18" t="str">
        <x:v>Discovered Graph</x:v>
      </x:c>
      <x:c r="E6" s="18" t="str">
        <x:v>DRAFT</x:v>
      </x:c>
      <x:c r="F6" s="18" t="str">
        <x:v>AAI-SRC-0004</x:v>
      </x:c>
    </x:row>
    <x:row r="7">
      <x:c r="A7" s="18" t="str">
        <x:v>AAI-TERM-0006</x:v>
      </x:c>
      <x:c r="B7" s="18" t="str">
        <x:v>MCP</x:v>
      </x:c>
      <x:c r="C7" s="18" t="str">
        <x:v>Protocol boundary exposing institutional capabilities to agents</x:v>
      </x:c>
      <x:c r="D7" s="18" t="str">
        <x:v>Do not use MSP unless referring to a different component</x:v>
      </x:c>
      <x:c r="E7" s="18" t="str">
        <x:v>DRAFT</x:v>
      </x:c>
      <x:c r="F7" s="18" t="str">
        <x:v>AAI-SRC-0005</x:v>
      </x:c>
    </x:row>
    <x:row r="8">
      <x:c r="A8" s="18" t="str">
        <x:v>AAI-TERM-0007</x:v>
      </x:c>
      <x:c r="B8" s="18" t="str">
        <x:v>Projection</x:v>
      </x:c>
      <x:c r="C8" s="18" t="str">
        <x:v>Local derived view rebuilt incrementally from canonical sources</x:v>
      </x:c>
      <x:c r="D8" s="18" t="str"/>
      <x:c r="E8" s="18" t="str">
        <x:v>DRAFT</x:v>
      </x:c>
      <x:c r="F8" s="18" t="str">
        <x:v>AAI-SRC-0001</x:v>
      </x:c>
    </x:row>
    <x:row r="9">
      <x:c r="A9" s="18" t="str">
        <x:v>AAI-TERM-0008</x:v>
      </x:c>
      <x:c r="B9" s="18" t="str">
        <x:v>Platform architecture</x:v>
      </x:c>
      <x:c r="C9" s="18" t="str">
        <x:v>The Architecture AI technical product and its operating model</x:v>
      </x:c>
      <x:c r="D9" s="18" t="str"/>
      <x:c r="E9" s="18" t="str">
        <x:v>DRAFT</x:v>
      </x:c>
      <x:c r="F9" s="18" t="str">
        <x:v>AAI-SRC-0002</x:v>
      </x:c>
    </x:row>
    <x:row r="10">
      <x:c r="A10" s="18" t="str">
        <x:v>AAI-TERM-0009</x:v>
      </x:c>
      <x:c r="B10" s="18" t="str">
        <x:v>Banking platform knowledge</x:v>
      </x:c>
      <x:c r="C10" s="18" t="str">
        <x:v>Institutional model of bank capabilities, systems, standards and solutions</x:v>
      </x:c>
      <x:c r="D10" s="18" t="str"/>
      <x:c r="E10" s="18" t="str">
        <x:v>DRAFT</x:v>
      </x:c>
      <x:c r="F10" s="18" t="str">
        <x:v>AAI-SRC-0003</x:v>
      </x:c>
    </x:row>
    <x:row r="11">
      <x:c r="A11" s="18" t="str">
        <x:v>AAI-TERM-0010</x:v>
      </x:c>
      <x:c r="B11" s="18" t="str">
        <x:v>Evidence</x:v>
      </x:c>
      <x:c r="C11" s="18" t="str">
        <x:v>Traceable source supporting a fact, decision, requirement or risk</x:v>
      </x:c>
      <x:c r="D11" s="18" t="str"/>
      <x:c r="E11" s="18" t="str">
        <x:v>DRAFT</x:v>
      </x:c>
      <x:c r="F11" s="18" t="str">
        <x:v>AAI-SRC-0001</x:v>
      </x:c>
    </x:row>
    <x:row r="12">
      <x:c r="A12" s="18" t="str">
        <x:v>AAI-TERM-0011</x:v>
      </x:c>
      <x:c r="B12" s="18" t="str">
        <x:v>Master Knowledge Compiler</x:v>
      </x:c>
      <x:c r="C12" s="18" t="str">
        <x:v>Work process that extracts, preserves, correlates, reconciles and versions Happy knowledge</x:v>
      </x:c>
      <x:c r="D12" s="18" t="str">
        <x:v>Not a summary generator</x:v>
      </x:c>
      <x:c r="E12" s="18" t="str">
        <x:v>DRAFT</x:v>
      </x:c>
      <x:c r="F12" s="18" t="str">
        <x:v>AAI-SRC-0032</x:v>
      </x:c>
    </x:row>
    <x:row r="13">
      <x:c r="A13" s="18" t="str">
        <x:v>AAI-TERM-0012</x:v>
      </x:c>
      <x:c r="B13" s="18" t="str">
        <x:v>Specification</x:v>
      </x:c>
      <x:c r="C13" s="18" t="str">
        <x:v>Stable, structured contract for component, service, agent, tool, data, process or operation</x:v>
      </x:c>
      <x:c r="D13" s="18" t="str">
        <x:v>Documentation alone does not imply implementation</x:v>
      </x:c>
      <x:c r="E13" s="18" t="str">
        <x:v>DRAFT</x:v>
      </x:c>
      <x:c r="F13" s="18" t="str">
        <x:v>AAI-SRC-0032</x:v>
      </x:c>
    </x:row>
    <x:row r="14">
      <x:c r="A14" s="18" t="str">
        <x:v>AAI-TERM-0013</x:v>
      </x:c>
      <x:c r="B14" s="18" t="str">
        <x:v>Implementation reported</x:v>
      </x:c>
      <x:c r="C14" s="18" t="str">
        <x:v>State asserted by a Devin result but not independently inspected or executed</x:v>
      </x:c>
      <x:c r="D14" s="18" t="str">
        <x:v>Do not label VERIFIED</x:v>
      </x:c>
      <x:c r="E14" s="18" t="str">
        <x:v>DRAFT</x:v>
      </x:c>
      <x:c r="F14" s="18" t="str">
        <x:v>AAI-SRC-0008</x:v>
      </x:c>
    </x:row>
    <x:row r="15">
      <x:c r="A15" s="18" t="str">
        <x:v>AAI-TERM-0014</x:v>
      </x:c>
      <x:c r="B15" s="18" t="str">
        <x:v>Wave</x:v>
      </x:c>
      <x:c r="C15" s="18" t="str">
        <x:v>Internal extraction and coverage checkpoint</x:v>
      </x:c>
      <x:c r="D15" s="18" t="str">
        <x:v>Not a delivery to Devin</x:v>
      </x:c>
      <x:c r="E15" s="18" t="str">
        <x:v>DRAFT</x:v>
      </x:c>
      <x:c r="F15" s="18" t="str">
        <x:v>AAI-SRC-0032</x:v>
      </x:c>
    </x:row>
    <x:row r="16">
      <x:c r="A16" s="18" t="str">
        <x:v>AAI-TERM-0015</x:v>
      </x:c>
      <x:c r="B16" s="18" t="str">
        <x:v>Snapshot plus delta</x:v>
      </x:c>
      <x:c r="C16" s="18" t="str">
        <x:v>Current canonical state updated only by explicit incremental changes</x:v>
      </x:c>
      <x:c r="D16" s="18" t="str"/>
      <x:c r="E16" s="18" t="str">
        <x:v>DRAFT</x:v>
      </x:c>
      <x:c r="F16" s="18" t="str">
        <x:v>AAI-SRC-0032</x:v>
      </x:c>
    </x:row>
    <x:row r="17" ht="42" customHeight="1">
      <x:c r="A17" s="19" t="str">
        <x:v>AAI-TERM-0016</x:v>
      </x:c>
      <x:c r="B17" s="19" t="str">
        <x:v>Capability</x:v>
      </x:c>
      <x:c r="C17" s="19" t="str">
        <x:v>Outcome the platform can provide; may be realized by multiple components, agents, skills or tools</x:v>
      </x:c>
      <x:c r="D17" s="19" t="str">
        <x:v>Do not equate with component</x:v>
      </x:c>
      <x:c r="E17" s="19" t="str">
        <x:v>DRAFT</x:v>
      </x:c>
      <x:c r="F17" s="19" t="str">
        <x:v>AAI-SRC-0034</x:v>
      </x:c>
    </x:row>
    <x:row r="18" ht="42" customHeight="1">
      <x:c r="A18" s="19" t="str">
        <x:v>AAI-TERM-0017</x:v>
      </x:c>
      <x:c r="B18" s="19" t="str">
        <x:v>Component</x:v>
      </x:c>
      <x:c r="C18" s="19" t="str">
        <x:v>Architectural unit with bounded responsibilities and interfaces</x:v>
      </x:c>
      <x:c r="D18" s="19" t="str">
        <x:v>Do not equate with capability</x:v>
      </x:c>
      <x:c r="E18" s="19" t="str">
        <x:v>DRAFT</x:v>
      </x:c>
      <x:c r="F18" s="19" t="str">
        <x:v>AAI-SRC-0034</x:v>
      </x:c>
    </x:row>
    <x:row r="19" ht="42" customHeight="1">
      <x:c r="A19" s="19" t="str">
        <x:v>AAI-TERM-0018</x:v>
      </x:c>
      <x:c r="B19" s="19" t="str">
        <x:v>Agent</x:v>
      </x:c>
      <x:c r="C19" s="19" t="str">
        <x:v>Role-bearing autonomous or semi-autonomous executor with bounded permissions</x:v>
      </x:c>
      <x:c r="D19" s="19" t="str">
        <x:v>Not an LLM model, Skill or Tool</x:v>
      </x:c>
      <x:c r="E19" s="19" t="str">
        <x:v>DRAFT</x:v>
      </x:c>
      <x:c r="F19" s="19" t="str">
        <x:v>AAI-SRC-0034</x:v>
      </x:c>
    </x:row>
    <x:row r="20" ht="42" customHeight="1">
      <x:c r="A20" s="19" t="str">
        <x:v>AAI-TERM-0019</x:v>
      </x:c>
      <x:c r="B20" s="19" t="str">
        <x:v>Skill</x:v>
      </x:c>
      <x:c r="C20" s="19" t="str">
        <x:v>Versioned operating procedure that guides an agent for a repeatable task</x:v>
      </x:c>
      <x:c r="D20" s="19" t="str">
        <x:v>Not automatically an executable Tool</x:v>
      </x:c>
      <x:c r="E20" s="19" t="str">
        <x:v>DRAFT</x:v>
      </x:c>
      <x:c r="F20" s="19" t="str">
        <x:v>AAI-SRC-0034</x:v>
      </x:c>
    </x:row>
    <x:row r="21" ht="42" customHeight="1">
      <x:c r="A21" s="19" t="str">
        <x:v>AAI-TERM-0020</x:v>
      </x:c>
      <x:c r="B21" s="19" t="str">
        <x:v>Tool</x:v>
      </x:c>
      <x:c r="C21" s="19" t="str">
        <x:v>Callable capability with explicit input/output, permissions and side effects</x:v>
      </x:c>
      <x:c r="D21" s="19" t="str">
        <x:v>Not an Agent role</x:v>
      </x:c>
      <x:c r="E21" s="19" t="str">
        <x:v>DRAFT</x:v>
      </x:c>
      <x:c r="F21" s="19" t="str">
        <x:v>AAI-SRC-0034</x:v>
      </x:c>
    </x:row>
    <x:row r="22" ht="42" customHeight="1">
      <x:c r="A22" s="19" t="str">
        <x:v>AAI-TERM-0021</x:v>
      </x:c>
      <x:c r="B22" s="19" t="str">
        <x:v>Service</x:v>
      </x:c>
      <x:c r="C22" s="19" t="str">
        <x:v>Runtime component exposing one or more governed capabilities</x:v>
      </x:c>
      <x:c r="D22" s="19" t="str"/>
      <x:c r="E22" s="19" t="str">
        <x:v>DRAFT</x:v>
      </x:c>
      <x:c r="F22" s="19" t="str">
        <x:v>AAI-SRC-0034</x:v>
      </x:c>
    </x:row>
    <x:row r="23" ht="42" customHeight="1">
      <x:c r="A23" s="19" t="str">
        <x:v>AAI-TERM-0022</x:v>
      </x:c>
      <x:c r="B23" s="19" t="str">
        <x:v>Workflow</x:v>
      </x:c>
      <x:c r="C23" s="19" t="str">
        <x:v>Governed sequence of activities, transitions and decisions</x:v>
      </x:c>
      <x:c r="D23" s="19" t="str"/>
      <x:c r="E23" s="19" t="str">
        <x:v>DRAFT</x:v>
      </x:c>
      <x:c r="F23" s="19" t="str">
        <x:v>AAI-SRC-0034</x:v>
      </x:c>
    </x:row>
    <x:row r="24" ht="42" customHeight="1">
      <x:c r="A24" s="19" t="str">
        <x:v>AAI-TERM-0023</x:v>
      </x:c>
      <x:c r="B24" s="19" t="str">
        <x:v>Sprint</x:v>
      </x:c>
      <x:c r="C24" s="19" t="str">
        <x:v>Planning/work-management entity grouping objectives and Work Items with entry/exit criteria and evidence</x:v>
      </x:c>
      <x:c r="D24" s="19" t="str">
        <x:v>Never Spring, Spring Boot or Agent</x:v>
      </x:c>
      <x:c r="E24" s="19" t="str">
        <x:v>DRAFT</x:v>
      </x:c>
      <x:c r="F24" s="19" t="str">
        <x:v>AAI-SRC-0034</x:v>
      </x:c>
    </x:row>
    <x:row r="25" ht="42" customHeight="1">
      <x:c r="A25" s="19" t="str">
        <x:v>AAI-TERM-0024</x:v>
      </x:c>
      <x:c r="B25" s="19" t="str">
        <x:v>Work Item</x:v>
      </x:c>
      <x:c r="C25" s="19" t="str">
        <x:v>Executable traceable unit of work within or outside a Sprint</x:v>
      </x:c>
      <x:c r="D25" s="19" t="str">
        <x:v>Not a prompt or chat by default</x:v>
      </x:c>
      <x:c r="E25" s="19" t="str">
        <x:v>DRAFT</x:v>
      </x:c>
      <x:c r="F25" s="19" t="str">
        <x:v>AAI-SRC-0034</x:v>
      </x:c>
    </x:row>
    <x:row r="26" ht="42" customHeight="1">
      <x:c r="A26" s="19" t="str">
        <x:v>AAI-TERM-0025</x:v>
      </x:c>
      <x:c r="B26" s="19" t="str">
        <x:v>Decision</x:v>
      </x:c>
      <x:c r="C26" s="19" t="str">
        <x:v>Explicit choice with status, scope, owner, evidence and rationale</x:v>
      </x:c>
      <x:c r="D26" s="19" t="str">
        <x:v>Idea/proposal is not decision</x:v>
      </x:c>
      <x:c r="E26" s="19" t="str">
        <x:v>DRAFT</x:v>
      </x:c>
      <x:c r="F26" s="19" t="str">
        <x:v>AAI-SRC-0034</x:v>
      </x:c>
    </x:row>
    <x:row r="27" ht="42" customHeight="1">
      <x:c r="A27" s="19" t="str">
        <x:v>AAI-TERM-0026</x:v>
      </x:c>
      <x:c r="B27" s="19" t="str">
        <x:v>ADR</x:v>
      </x:c>
      <x:c r="C27" s="19" t="str">
        <x:v>Versioned record of an architecture decision, rationale, alternatives and consequences</x:v>
      </x:c>
      <x:c r="D27" s="19" t="str">
        <x:v>Candidate is not approved ADR</x:v>
      </x:c>
      <x:c r="E27" s="19" t="str">
        <x:v>DRAFT</x:v>
      </x:c>
      <x:c r="F27" s="19" t="str">
        <x:v>AAI-SRC-0034</x:v>
      </x:c>
    </x:row>
    <x:row r="28" ht="42" customHeight="1">
      <x:c r="A28" s="19" t="str">
        <x:v>AAI-TERM-0027</x:v>
      </x:c>
      <x:c r="B28" s="19" t="str">
        <x:v>Event</x:v>
      </x:c>
      <x:c r="C28" s="19" t="str">
        <x:v>Immutable occurrence used for correlation, state transition or integration</x:v>
      </x:c>
      <x:c r="D28" s="19" t="str"/>
      <x:c r="E28" s="19" t="str">
        <x:v>DRAFT</x:v>
      </x:c>
      <x:c r="F28" s="19" t="str">
        <x:v>AAI-SRC-0034</x:v>
      </x:c>
    </x:row>
    <x:row r="29" ht="42" customHeight="1">
      <x:c r="A29" s="19" t="str">
        <x:v>AAI-TERM-0028</x:v>
      </x:c>
      <x:c r="B29" s="19" t="str">
        <x:v>Data Model</x:v>
      </x:c>
      <x:c r="C29" s="19" t="str">
        <x:v>Explicit structure, semantics, identity and constraints of data entities</x:v>
      </x:c>
      <x:c r="D29" s="19" t="str"/>
      <x:c r="E29" s="19" t="str">
        <x:v>DRAFT</x:v>
      </x:c>
      <x:c r="F29" s="19" t="str">
        <x:v>AAI-SRC-0034</x:v>
      </x:c>
    </x:row>
    <x:row r="30" ht="42" customHeight="1">
      <x:c r="A30" s="19" t="str">
        <x:v>AAI-TERM-0029</x:v>
      </x:c>
      <x:c r="B30" s="19" t="str">
        <x:v>Risk</x:v>
      </x:c>
      <x:c r="C30" s="19" t="str">
        <x:v>Uncertain condition with impact, likelihood, owner, treatment and residual state</x:v>
      </x:c>
      <x:c r="D30" s="19" t="str">
        <x:v>Finding is not risk acceptance</x:v>
      </x:c>
      <x:c r="E30" s="19" t="str">
        <x:v>DRAFT</x:v>
      </x:c>
      <x:c r="F30" s="19" t="str">
        <x:v>AAI-SRC-0034</x:v>
      </x:c>
    </x:row>
    <x:row r="31" ht="42" customHeight="1">
      <x:c r="A31" s="19" t="str">
        <x:v>AAI-TERM-0030</x:v>
      </x:c>
      <x:c r="B31" s="19" t="str">
        <x:v>Control</x:v>
      </x:c>
      <x:c r="C31" s="19" t="str">
        <x:v>Preventive, detective, corrective or governance mechanism mitigating a risk</x:v>
      </x:c>
      <x:c r="D31" s="19" t="str">
        <x:v>Recommendation is not policy</x:v>
      </x:c>
      <x:c r="E31" s="19" t="str">
        <x:v>DRAFT</x:v>
      </x:c>
      <x:c r="F31" s="19" t="str">
        <x:v>AAI-SRC-0034</x:v>
      </x:c>
    </x:row>
    <x:row r="32" ht="42" customHeight="1">
      <x:c r="A32" s="19" t="str">
        <x:v>AAI-TERM-0031</x:v>
      </x:c>
      <x:c r="B32" s="19" t="str">
        <x:v>Reference</x:v>
      </x:c>
      <x:c r="C32" s="19" t="str">
        <x:v>Traceable source supporting research or design; adoption status is separate</x:v>
      </x:c>
      <x:c r="D32" s="19" t="str">
        <x:v>Reference does not equal standard adoption</x:v>
      </x:c>
      <x:c r="E32" s="19" t="str">
        <x:v>DRAFT</x:v>
      </x:c>
      <x:c r="F32" s="19" t="str">
        <x:v>AAI-SRC-0034</x:v>
      </x:c>
    </x:row>
    <x:row r="33" ht="42" customHeight="1">
      <x:c r="A33" s="19" t="str">
        <x:v>AAI-TERM-0032</x:v>
      </x:c>
      <x:c r="B33" s="19" t="str">
        <x:v>Blueprint</x:v>
      </x:c>
      <x:c r="C33" s="19" t="str">
        <x:v>Optional model of current state, target state, stages and convergence criteria</x:v>
      </x:c>
      <x:c r="D33" s="19" t="str">
        <x:v>PROPOSAL; not prior canonical decision</x:v>
      </x:c>
      <x:c r="E33" s="19" t="str">
        <x:v>DRAFT</x:v>
      </x:c>
      <x:c r="F33" s="19" t="str">
        <x:v>AAI-SRC-0034</x:v>
      </x:c>
    </x:row>
    <x:row r="34" ht="42" customHeight="1">
      <x:c r="A34" s="19" t="str">
        <x:v>AAI-TERM-0033</x:v>
      </x:c>
      <x:c r="B34" s="19" t="str">
        <x:v>HAPPY_HANDOFF_READY</x:v>
      </x:c>
      <x:c r="C34" s="19" t="str">
        <x:v>Readiness gate for an operational, traceable Devin bootstrap after No-Loss review</x:v>
      </x:c>
      <x:c r="D34" s="19" t="str">
        <x:v>Currently FALSE</x:v>
      </x:c>
      <x:c r="E34" s="19" t="str">
        <x:v>DRAFT</x:v>
      </x:c>
      <x:c r="F34" s="19" t="str">
        <x:v>AAI-SRC-0034</x:v>
      </x:c>
    </x:row>
    <x:row r="35" ht="42" customHeight="1">
      <x:c r="A35" s="19" t="str">
        <x:v>AAI-TERM-0034</x:v>
      </x:c>
      <x:c r="B35" s="19" t="str">
        <x:v>Spring Boot</x:v>
      </x:c>
      <x:c r="C35" s="19" t="str">
        <x:v>Java application framework selected for the local Architecture AI core</x:v>
      </x:c>
      <x:c r="D35" s="19" t="str">
        <x:v>Never Sprint</x:v>
      </x:c>
      <x:c r="E35" s="19" t="str">
        <x:v>DRAFT</x:v>
      </x:c>
      <x:c r="F35" s="19" t="str">
        <x:v>AAI-SRC-0001; AAI-SRC-0034</x:v>
      </x:c>
    </x:row>
    <x:row r="36" ht="44" customHeight="1">
      <x:c r="A36" s="19" t="str">
        <x:v>AAI-TERM-0035</x:v>
      </x:c>
      <x:c r="B36" s="19" t="str">
        <x:v>ArchitectureTask</x:v>
      </x:c>
      <x:c r="C36" s="19" t="str">
        <x:v>Durable aggregate for scoped architecture work, state, ownership, evidence and linked questions</x:v>
      </x:c>
      <x:c r="D36" s="19" t="str">
        <x:v>Not Sprint; documentation does not prove implementation</x:v>
      </x:c>
      <x:c r="E36" s="19" t="str">
        <x:v>DRAFT</x:v>
      </x:c>
      <x:c r="F36" s="19" t="str">
        <x:v>AAI-SRC-0038</x:v>
      </x:c>
    </x:row>
    <x:row r="37" ht="44" customHeight="1">
      <x:c r="A37" s="19" t="str">
        <x:v>AAI-TERM-0036</x:v>
      </x:c>
      <x:c r="B37" s="19" t="str">
        <x:v>DelegationRecord</x:v>
      </x:c>
      <x:c r="C37" s="19" t="str">
        <x:v>Immutable delegation fact with actor, recipient, reason, timestamp, scope and expertise rationale</x:v>
      </x:c>
      <x:c r="D37" s="19" t="str">
        <x:v>Delegation does not transfer unrestricted authority</x:v>
      </x:c>
      <x:c r="E37" s="19" t="str">
        <x:v>DRAFT</x:v>
      </x:c>
      <x:c r="F37" s="19" t="str">
        <x:v>AAI-SRC-0038</x:v>
      </x:c>
    </x:row>
    <x:row r="38" ht="44" customHeight="1">
      <x:c r="A38" s="19" t="str">
        <x:v>AAI-TERM-0037</x:v>
      </x:c>
      <x:c r="B38" s="19" t="str">
        <x:v>ArchitectureQuestion</x:v>
      </x:c>
      <x:c r="C38" s="19" t="str">
        <x:v>Traceable question or knowledge request with routing, evidence, assurance, state and outcome</x:v>
      </x:c>
      <x:c r="D38" s="19" t="str">
        <x:v>Answer candidate is not resolved fact</x:v>
      </x:c>
      <x:c r="E38" s="19" t="str">
        <x:v>DRAFT</x:v>
      </x:c>
      <x:c r="F38" s="19" t="str">
        <x:v>AAI-SRC-0038</x:v>
      </x:c>
    </x:row>
    <x:row r="39" ht="44" customHeight="1">
      <x:c r="A39" s="19" t="str">
        <x:v>AAI-TERM-0038</x:v>
      </x:c>
      <x:c r="B39" s="19" t="str">
        <x:v>StateUpdateDelta</x:v>
      </x:c>
      <x:c r="C39" s="19" t="str">
        <x:v>Evidence-linked optimistic transition record preserving previous and new state</x:v>
      </x:c>
      <x:c r="D39" s="19" t="str">
        <x:v>Cannot silently elevate implementation or verification</x:v>
      </x:c>
      <x:c r="E39" s="19" t="str">
        <x:v>DRAFT</x:v>
      </x:c>
      <x:c r="F39" s="19" t="str">
        <x:v>AAI-SRC-0038</x:v>
      </x:c>
    </x:row>
    <x:row r="40" ht="44" customHeight="1">
      <x:c r="A40" s="19" t="str">
        <x:v>AAI-TERM-0039</x:v>
      </x:c>
      <x:c r="B40" s="19" t="str">
        <x:v>DomainEventEnvelope</x:v>
      </x:c>
      <x:c r="C40" s="19" t="str">
        <x:v>Provisional vendor-neutral metadata envelope for lifecycle events and correlation</x:v>
      </x:c>
      <x:c r="D40" s="19" t="str">
        <x:v>Not a final transport, topic or delivery contract</x:v>
      </x:c>
      <x:c r="E40" s="19" t="str">
        <x:v>DRAFT</x:v>
      </x:c>
      <x:c r="F40" s="19" t="str">
        <x:v>AAI-SRC-0038</x:v>
      </x:c>
    </x:row>
    <x:row r="41" ht="44" customHeight="1">
      <x:c r="A41" s="19" t="str">
        <x:v>AAI-TERM-0040</x:v>
      </x:c>
      <x:c r="B41" s="19" t="str">
        <x:v>Seed V1</x:v>
      </x:c>
      <x:c r="C41" s="19" t="str">
        <x:v>Compact governed bootstrap containing roots, DNA, map and growth rules</x:v>
      </x:c>
      <x:c r="D41" s="19" t="str">
        <x:v>Not full platform or implementation</x:v>
      </x:c>
      <x:c r="E41" s="19" t="str">
        <x:v>DRAFT</x:v>
      </x:c>
      <x:c r="F41" s="19" t="str">
        <x:v>AAI-SRC-0039</x:v>
      </x:c>
    </x:row>
    <x:row r="42" ht="44" customHeight="1">
      <x:c r="A42" s="19" t="str">
        <x:v>AAI-TERM-0041</x:v>
      </x:c>
      <x:c r="B42" s="19" t="str">
        <x:v>Architectural DNA</x:v>
      </x:c>
      <x:c r="C42" s="19" t="str">
        <x:v>Invariants/decisions/constraints that survive governed expansion</x:v>
      </x:c>
      <x:c r="D42" s="19" t="str">
        <x:v>Classify canonical/derived/proposed</x:v>
      </x:c>
      <x:c r="E42" s="19" t="str">
        <x:v>DRAFT</x:v>
      </x:c>
      <x:c r="F42" s="19" t="str">
        <x:v>AAI-SRC-0039</x:v>
      </x:c>
    </x:row>
    <x:row r="43" ht="44" customHeight="1">
      <x:c r="A43" s="19" t="str">
        <x:v>AAI-TERM-0042</x:v>
      </x:c>
      <x:c r="B43" s="19" t="str">
        <x:v>Target Capability Map</x:v>
      </x:c>
      <x:c r="C43" s="19" t="str">
        <x:v>Current/target capability model with dependencies, gates and evidence</x:v>
      </x:c>
      <x:c r="D43" s="19" t="str">
        <x:v>Capability is not automatically a component or Spec</x:v>
      </x:c>
      <x:c r="E43" s="19" t="str">
        <x:v>DRAFT</x:v>
      </x:c>
      <x:c r="F43" s="19" t="str">
        <x:v>AAI-SRC-0040</x:v>
      </x:c>
    </x:row>
    <x:row r="44" ht="44" customHeight="1">
      <x:c r="A44" s="19" t="str">
        <x:v>AAI-TERM-0043</x:v>
      </x:c>
      <x:c r="B44" s="19" t="str">
        <x:v>Context Engineering</x:v>
      </x:c>
      <x:c r="C44" s="19" t="str">
        <x:v>Selection and freshness of information required for work</x:v>
      </x:c>
      <x:c r="D44" s="19" t="str">
        <x:v>Distinct from Harness and Loop Engineering</x:v>
      </x:c>
      <x:c r="E44" s="19" t="str">
        <x:v>DRAFT</x:v>
      </x:c>
      <x:c r="F44" s="19" t="str">
        <x:v>AAI-SRC-0040</x:v>
      </x:c>
    </x:row>
    <x:row r="45" ht="44" customHeight="1">
      <x:c r="A45" s="19" t="str">
        <x:v>AAI-TERM-0044</x:v>
      </x:c>
      <x:c r="B45" s="19" t="str">
        <x:v>Harness Engineering</x:v>
      </x:c>
      <x:c r="C45" s="19" t="str">
        <x:v>Execution control, evaluation, reproducibility and evidence</x:v>
      </x:c>
      <x:c r="D45" s="19" t="str">
        <x:v>Broader than testing</x:v>
      </x:c>
      <x:c r="E45" s="19" t="str">
        <x:v>DRAFT</x:v>
      </x:c>
      <x:c r="F45" s="19" t="str">
        <x:v>AAI-SRC-0040</x:v>
      </x:c>
    </x:row>
    <x:row r="46" ht="44" customHeight="1">
      <x:c r="A46" s="19" t="str">
        <x:v>AAI-TERM-0045</x:v>
      </x:c>
      <x:c r="B46" s="19" t="str">
        <x:v>Loop Engineering</x:v>
      </x:c>
      <x:c r="C46" s="19" t="str">
        <x:v>Evidence-based choice of next iteration, exit or escalation</x:v>
      </x:c>
      <x:c r="D46" s="19" t="str">
        <x:v>No blind retries</x:v>
      </x:c>
      <x:c r="E46" s="19" t="str">
        <x:v>DRAFT</x:v>
      </x:c>
      <x:c r="F46" s="19" t="str">
        <x:v>AAI-SRC-0040</x:v>
      </x:c>
    </x:row>
    <x:row r="47" ht="44" customHeight="1">
      <x:c r="A47" s="19" t="str">
        <x:v>AAI-TERM-0046</x:v>
      </x:c>
      <x:c r="B47" s="19" t="str">
        <x:v>Decision Package</x:v>
      </x:c>
      <x:c r="C47" s="19" t="str">
        <x:v>Governed human escalation with evidence/options/impact/resume trigger</x:v>
      </x:c>
      <x:c r="D47" s="19" t="str">
        <x:v>Human interaction is exception path</x:v>
      </x:c>
      <x:c r="E47" s="19" t="str">
        <x:v>DRAFT</x:v>
      </x:c>
      <x:c r="F47" s="19" t="str">
        <x:v>AAI-SRC-0039</x:v>
      </x:c>
    </x:row>
    <x:row r="48" ht="44" customHeight="1">
      <x:c r="A48" s="19" t="str">
        <x:v>AAI-TERM-0047</x:v>
      </x:c>
      <x:c r="B48" s="19" t="str">
        <x:v>Known Intent Coverage</x:v>
      </x:c>
      <x:c r="C48" s="19" t="str">
        <x:v>Visibility of known goals/targets/directions/concerns</x:v>
      </x:c>
      <x:c r="D48" s="19" t="str">
        <x:v>Not implementation or verification completeness</x:v>
      </x:c>
      <x:c r="E48" s="19" t="str">
        <x:v>DRAFT</x:v>
      </x:c>
      <x:c r="F48" s="19" t="str">
        <x:v>AAI-SRC-0039</x:v>
      </x:c>
    </x:row>
    <x:row r="49" ht="44" customHeight="1">
      <x:c r="A49" s="19" t="str">
        <x:v>AAI-TERM-0048</x:v>
      </x:c>
      <x:c r="B49" s="19" t="str">
        <x:v>Cutover</x:v>
      </x:c>
      <x:c r="C49" s="19" t="str">
        <x:v>Transition from Happy-built Seed to Devin/organizational authority</x:v>
      </x:c>
      <x:c r="D49" s="19" t="str">
        <x:v>Waves become historical</x:v>
      </x:c>
      <x:c r="E49" s="19" t="str">
        <x:v>DRAFT</x:v>
      </x:c>
      <x:c r="F49" s="19" t="str">
        <x:v>AAI-SRC-0039</x:v>
      </x:c>
    </x:row>
    <x:row r="50" ht="44" customHeight="1">
      <x:c r="A50" s="19" t="str">
        <x:v>AAI-TERM-0049</x:v>
      </x:c>
      <x:c r="B50" s="19" t="str">
        <x:v>Model Evolution</x:v>
      </x:c>
      <x:c r="C50" s="19" t="str">
        <x:v>Governed change to layers/vectors/relations/categories</x:v>
      </x:c>
      <x:c r="D50" s="19" t="str">
        <x:v>Requires evidence, compatibility and verification</x:v>
      </x:c>
      <x:c r="E50" s="19" t="str">
        <x:v>DRAFT</x:v>
      </x:c>
      <x:c r="F50" s="19" t="str">
        <x:v>AAI-SRC-0040</x:v>
      </x:c>
    </x:row>
    <x:row r="51" ht="44" customHeight="1">
      <x:c r="A51" s="19" t="str">
        <x:v>AAI-TERM-0050</x:v>
      </x:c>
      <x:c r="B51" s="19" t="str">
        <x:v>Bootstrap Staging Repository</x:v>
      </x:c>
      <x:c r="C51" s="19" t="str">
        <x:v>Temporary personal clone/ZIP transport for Seed</x:v>
      </x:c>
      <x:c r="D51" s="19" t="str">
        <x:v>Not implementation repo or post-handoff authority</x:v>
      </x:c>
      <x:c r="E51" s="19" t="str">
        <x:v>DRAFT</x:v>
      </x:c>
      <x:c r="F51" s="19" t="str">
        <x:v>AAI-SRC-0041</x:v>
      </x:c>
    </x:row>
    <x:row r="52" ht="44" customHeight="1">
      <x:c r="A52" s="19" t="str">
        <x:v>AAI-TERM-0051</x:v>
      </x:c>
      <x:c r="B52" s="19" t="str">
        <x:v>Operational Equivalence</x:v>
      </x:c>
      <x:c r="C52" s="19" t="str">
        <x:v>Equivalent reconstructed state and next-work decision across sessions</x:v>
      </x:c>
      <x:c r="D52" s="19" t="str">
        <x:v>Does not require identical text</x:v>
      </x:c>
      <x:c r="E52" s="19" t="str">
        <x:v>DRAFT</x:v>
      </x:c>
      <x:c r="F52" s="19" t="str">
        <x:v>AAI-SRC-0040</x:v>
      </x:c>
    </x:row>
    <x:row r="53" ht="44" customHeight="1">
      <x:c r="A53" s="19" t="str">
        <x:v>AAI-TERM-0052</x:v>
      </x:c>
      <x:c r="B53" s="19" t="str">
        <x:v>Seed Assembly Candidate</x:v>
      </x:c>
      <x:c r="C53" s="19" t="str">
        <x:v>Physical 0.x Seed prepared for validation but not accepted</x:v>
      </x:c>
      <x:c r="D53" s="19" t="str">
        <x:v>Not a release candidate or implementation</x:v>
      </x:c>
      <x:c r="E53" s="19" t="str">
        <x:v>DRAFT</x:v>
      </x:c>
      <x:c r="F53" s="19" t="str">
        <x:v>AAI-SRC-0042</x:v>
      </x:c>
    </x:row>
    <x:row r="54" ht="44" customHeight="1">
      <x:c r="A54" s="19" t="str">
        <x:v>AAI-TERM-0053</x:v>
      </x:c>
      <x:c r="B54" s="19" t="str">
        <x:v>Thin Custom Layer</x:v>
      </x:c>
      <x:c r="C54" s="19" t="str">
        <x:v>Minimal institutional overlay for a demonstrated standard/framework gap</x:v>
      </x:c>
      <x:c r="D54" s="19" t="str">
        <x:v>Identity, authority, provenance, country, evidence and lifecycle only as needed</x:v>
      </x:c>
      <x:c r="E54" s="19" t="str">
        <x:v>DRAFT</x:v>
      </x:c>
      <x:c r="F54" s="19" t="str">
        <x:v>AAI-SRC-0044</x:v>
      </x:c>
    </x:row>
    <x:row r="55" ht="44" customHeight="1">
      <x:c r="A55" s="19" t="str">
        <x:v>AAI-TERM-0054</x:v>
      </x:c>
      <x:c r="B55" s="19" t="str">
        <x:v>Content Hash</x:v>
      </x:c>
      <x:c r="C55" s="19" t="str">
        <x:v>Digest of deterministic per-file content manifest excluding self-referential files</x:v>
      </x:c>
      <x:c r="D55" s="19" t="str">
        <x:v>Distinct from ZIP bytes</x:v>
      </x:c>
      <x:c r="E55" s="19" t="str">
        <x:v>DRAFT</x:v>
      </x:c>
      <x:c r="F55" s="19" t="str">
        <x:v>AAI-SRC-0043</x:v>
      </x:c>
    </x:row>
    <x:row r="56" ht="44" customHeight="1">
      <x:c r="A56" s="19" t="str">
        <x:v>AAI-TERM-0055</x:v>
      </x:c>
      <x:c r="B56" s="19" t="str">
        <x:v>Package Hash</x:v>
      </x:c>
      <x:c r="C56" s="19" t="str">
        <x:v>SHA-256 of final ZIP bytes stored in external sidecar</x:v>
      </x:c>
      <x:c r="D56" s="19" t="str">
        <x:v>Cannot be embedded without changing the package</x:v>
      </x:c>
      <x:c r="E56" s="19" t="str">
        <x:v>DRAFT</x:v>
      </x:c>
      <x:c r="F56" s="19" t="str">
        <x:v>AAI-SRC-0043</x:v>
      </x:c>
    </x:row>
    <x:row r="57" ht="44" customHeight="1">
      <x:c r="A57" s="19" t="str">
        <x:v>AAI-TERM-0056</x:v>
      </x:c>
      <x:c r="B57" s="19" t="str">
        <x:v>Source Precedence</x:v>
      </x:c>
      <x:c r="C57" s="19" t="str">
        <x:v>Governed ordering used to resolve authority, never to hide conflict</x:v>
      </x:c>
      <x:c r="D57" s="19" t="str">
        <x:v>Supersession/status/provenance remain explicit</x:v>
      </x:c>
      <x:c r="E57" s="19" t="str">
        <x:v>DRAFT</x:v>
      </x:c>
      <x:c r="F57" s="19" t="str">
        <x:v>AAI-SRC-0042</x:v>
      </x:c>
    </x:row>
    <x:row r="58" ht="48" customHeight="1">
      <x:c r="A58" s="19" t="str">
        <x:v>AAI-TERM-0057</x:v>
      </x:c>
      <x:c r="B58" s="19" t="str">
        <x:v>Federated Domain Capability Direction</x:v>
      </x:c>
      <x:c r="C58" s="19" t="str">
        <x:v>Target model for observing/aligning local capabilities while preserving domain ownership</x:v>
      </x:c>
      <x:c r="D58" s="19" t="str">
        <x:v>Name is descriptive; Federated Engineering Capability Model remains a proposal label</x:v>
      </x:c>
      <x:c r="E58" s="19" t="str">
        <x:v>DRAFT</x:v>
      </x:c>
      <x:c r="F58" s="19" t="str">
        <x:v>AAI-SRC-0046</x:v>
      </x:c>
    </x:row>
    <x:row r="59" ht="48" customHeight="1">
      <x:c r="A59" s="19" t="str">
        <x:v>AAI-TERM-0058</x:v>
      </x:c>
      <x:c r="B59" s="19" t="str">
        <x:v>Non-intrusive Introspection</x:v>
      </x:c>
      <x:c r="C59" s="19" t="str">
        <x:v>Permission-aware observe/understand/model before proposing integration or automation</x:v>
      </x:c>
      <x:c r="D59" s="19" t="str">
        <x:v>Never OBSERVE→REPLACE</x:v>
      </x:c>
      <x:c r="E59" s="19" t="str">
        <x:v>DRAFT</x:v>
      </x:c>
      <x:c r="F59" s="19" t="str">
        <x:v>AAI-SRC-0046</x:v>
      </x:c>
    </x:row>
    <x:row r="60" ht="48" customHeight="1">
      <x:c r="A60" s="19" t="str">
        <x:v>AAI-TERM-0059</x:v>
      </x:c>
      <x:c r="B60" s="19" t="str">
        <x:v>Deterministic Maturity</x:v>
      </x:c>
      <x:c r="C60" s="19" t="str">
        <x:v>Evidence-based choice/migration among manual, assisted, agentic, hybrid and deterministic forms</x:v>
      </x:c>
      <x:c r="D60" s="19" t="str">
        <x:v>Not a mandatory ladder; possibility is not readiness</x:v>
      </x:c>
      <x:c r="E60" s="19" t="str">
        <x:v>DRAFT</x:v>
      </x:c>
      <x:c r="F60" s="19" t="str">
        <x:v>AAI-SRC-0046</x:v>
      </x:c>
    </x:row>
    <x:row r="61" ht="48" customHeight="1">
      <x:c r="A61" s="19" t="str">
        <x:v>AAI-TERM-0060</x:v>
      </x:c>
      <x:c r="B61" s="19" t="str">
        <x:v>Knowledge Geometry</x:v>
      </x:c>
      <x:c r="C61" s="19" t="str">
        <x:v>Derived composition: Tree decomposes, Graph relates, Assurance supports claims, Loop evolves state</x:v>
      </x:c>
      <x:c r="D61" s="19" t="str">
        <x:v>Not a proprietary framework or persistence decision</x:v>
      </x:c>
      <x:c r="E61" s="19" t="str">
        <x:v>DRAFT</x:v>
      </x:c>
      <x:c r="F61" s="19" t="str">
        <x:v>AAI-SRC-0046/0048</x:v>
      </x:c>
    </x:row>
    <x:row r="62" ht="48" customHeight="1">
      <x:c r="A62" s="19" t="str">
        <x:v>AAI-TERM-0061</x:v>
      </x:c>
      <x:c r="B62" s="19" t="str">
        <x:v>Domain Context Projection</x:v>
      </x:c>
      <x:c r="C62" s="19" t="str">
        <x:v>Purpose/permission-scoped projection of applicable DNA, decisions, standards and evidence</x:v>
      </x:c>
      <x:c r="D62" s="19" t="str">
        <x:v>Does not create a canonical silo</x:v>
      </x:c>
      <x:c r="E62" s="19" t="str">
        <x:v>DRAFT</x:v>
      </x:c>
      <x:c r="F62" s="19" t="str">
        <x:v>AAI-SRC-0046</x:v>
      </x:c>
    </x:row>
    <x:row r="63" ht="48" customHeight="1">
      <x:c r="A63" s="19" t="str">
        <x:v>AAI-TERM-0062</x:v>
      </x:c>
      <x:c r="B63" s="19" t="str">
        <x:v>Human Value Shift</x:v>
      </x:c>
      <x:c r="C63" s="19" t="str">
        <x:v>Proposal to redirect repetitive effort toward policy, judgment, knowledge and capability evolution</x:v>
      </x:c>
      <x:c r="D63" s="19" t="str">
        <x:v>Does not authorize organizational elimination/change</x:v>
      </x:c>
      <x:c r="E63" s="19" t="str">
        <x:v>DRAFT</x:v>
      </x:c>
      <x:c r="F63" s="19" t="str">
        <x:v>AAI-SRC-0046</x:v>
      </x:c>
    </x:row>
    <x:row r="64" ht="50" customHeight="1">
      <x:c r="A64" s="19" t="str">
        <x:v>AAI-TERM-0063</x:v>
      </x:c>
      <x:c r="B64" s="19" t="str">
        <x:v>Governed Self-Model</x:v>
      </x:c>
      <x:c r="C64" s="19" t="str">
        <x:v>Evolvable common model of Architecture AI and organizational context from which authorized projections are derived</x:v>
      </x:c>
      <x:c r="D64" s="19" t="str">
        <x:v>Not a separate mental-map silo or Graph technology decision</x:v>
      </x:c>
      <x:c r="E64" s="19" t="str">
        <x:v>DRAFT</x:v>
      </x:c>
      <x:c r="F64" s="19" t="str">
        <x:v>AAI-SRC-0050</x:v>
      </x:c>
    </x:row>
    <x:row r="65" ht="50" customHeight="1">
      <x:c r="A65" s="19" t="str">
        <x:v>AAI-TERM-0064</x:v>
      </x:c>
      <x:c r="B65" s="19" t="str">
        <x:v>Deterministic Assurance</x:v>
      </x:c>
      <x:c r="C65" s="19" t="str">
        <x:v>Promotion path that uses repeatable checks/metrics/evidence when a material claim is technically verifiable</x:v>
      </x:c>
      <x:c r="D65" s="19" t="str">
        <x:v>LLM reasoning is not self-certification</x:v>
      </x:c>
      <x:c r="E65" s="19" t="str">
        <x:v>DRAFT</x:v>
      </x:c>
      <x:c r="F65" s="19" t="str">
        <x:v>AAI-SRC-0050</x:v>
      </x:c>
    </x:row>
    <x:row r="66" ht="50" customHeight="1">
      <x:c r="A66" s="19" t="str">
        <x:v>AAI-TERM-0065</x:v>
      </x:c>
      <x:c r="B66" s="19" t="str">
        <x:v>Fitness Function</x:v>
      </x:c>
      <x:c r="C66" s="19" t="str">
        <x:v>Versioned deterministic or partly deterministic check that evaluates an architectural/capability property</x:v>
      </x:c>
      <x:c r="D66" s="19" t="str">
        <x:v>May classify judgment/authority required instead of faking automation</x:v>
      </x:c>
      <x:c r="E66" s="19" t="str">
        <x:v>DRAFT</x:v>
      </x:c>
      <x:c r="F66" s="19" t="str">
        <x:v>AAI-SRC-0050</x:v>
      </x:c>
    </x:row>
    <x:row r="67" ht="50" customHeight="1">
      <x:c r="A67" s="19" t="str">
        <x:v>AAI-TERM-0066</x:v>
      </x:c>
      <x:c r="B67" s="19" t="str">
        <x:v>Executable Frontier</x:v>
      </x:c>
      <x:c r="C67" s="19" t="str">
        <x:v>Descriptive set of currently eligible work derived from state, dependencies, context, authority and blockers</x:v>
      </x:c>
      <x:c r="D67" s="19" t="str">
        <x:v>Not a frozen platform type or arbitrary ranking</x:v>
      </x:c>
      <x:c r="E67" s="19" t="str">
        <x:v>DRAFT</x:v>
      </x:c>
      <x:c r="F67" s="19" t="str">
        <x:v>AAI-SRC-0050</x:v>
      </x:c>
    </x:row>
    <x:row r="68" ht="50" customHeight="1">
      <x:c r="A68" s="19" t="str">
        <x:v>AAI-TERM-0067</x:v>
      </x:c>
      <x:c r="B68" s="19" t="str">
        <x:v>Self-Knowledge &amp; Documentation Milestone</x:v>
      </x:c>
      <x:c r="C68" s="19" t="str">
        <x:v>Target ability to explain/document Architecture AI from governed knowledge with reproducible projections</x:v>
      </x:c>
      <x:c r="D68" s="19" t="str">
        <x:v>Target/expansion obligation, not implementation</x:v>
      </x:c>
      <x:c r="E68" s="19" t="str">
        <x:v>DRAFT</x:v>
      </x:c>
      <x:c r="F68" s="19" t="str">
        <x:v>AAI-SRC-0050</x:v>
      </x:c>
    </x:row>
    <x:row r="69" ht="50" customHeight="1">
      <x:c r="A69" s="19" t="str">
        <x:v>AAI-TERM-0068</x:v>
      </x:c>
      <x:c r="B69" s="19" t="str">
        <x:v>Knowledge Ingestion Milestone</x:v>
      </x:c>
      <x:c r="C69" s="19" t="str">
        <x:v>Target E2E path from sourced raw information through governed reconciliation and restartable projections</x:v>
      </x:c>
      <x:c r="D69" s="19" t="str">
        <x:v>Ingested never means canonical</x:v>
      </x:c>
      <x:c r="E69" s="19" t="str">
        <x:v>DRAFT</x:v>
      </x:c>
      <x:c r="F69" s="19" t="str">
        <x:v>AAI-SRC-0050</x:v>
      </x:c>
    </x:row>
    <x:row r="70" ht="50" customHeight="1">
      <x:c r="A70" s="19" t="str">
        <x:v>AAI-TERM-0069</x:v>
      </x:c>
      <x:c r="B70" s="19" t="str">
        <x:v>Capability/Access/Authority Boundary</x:v>
      </x:c>
      <x:c r="C70" s="19" t="str">
        <x:v>Semantic separation of discoverability, technical reachability, permission and action authority</x:v>
      </x:c>
      <x:c r="D70" s="19" t="str">
        <x:v>Credentials never imply institutional permission</x:v>
      </x:c>
      <x:c r="E70" s="19" t="str">
        <x:v>CANONICAL</x:v>
      </x:c>
      <x:c r="F70" s="19" t="str">
        <x:v>AAI-SRC-0053</x:v>
      </x:c>
    </x:row>
    <x:row r="71" ht="50" customHeight="1">
      <x:c r="A71" s="19" t="str">
        <x:v>AAI-TERM-0070</x:v>
      </x:c>
      <x:c r="B71" s="19" t="str">
        <x:v>Adoption Readiness Profile</x:v>
      </x:c>
      <x:c r="C71" s="19" t="str">
        <x:v>Audience/use-scope-specific criteria and evidence for a rollout recommendation</x:v>
      </x:c>
      <x:c r="D71" s="19" t="str">
        <x:v>No global percentage or cross-profile inheritance</x:v>
      </x:c>
      <x:c r="E71" s="19" t="str">
        <x:v>DRAFT</x:v>
      </x:c>
      <x:c r="F71" s="19" t="str">
        <x:v>AAI-SRC-0053</x:v>
      </x:c>
    </x:row>
    <x:row r="72" ht="50" customHeight="1">
      <x:c r="A72" s="19" t="str">
        <x:v>AAI-TERM-0071</x:v>
      </x:c>
      <x:c r="B72" s="19" t="str">
        <x:v>Environment Awareness</x:v>
      </x:c>
      <x:c r="C72" s="19" t="str">
        <x:v>Source-backed model of environment identity, purpose, topology, authority, delivery, runtime and drift</x:v>
      </x:c>
      <x:c r="D72" s="19" t="str">
        <x:v>No bank topology is preloaded</x:v>
      </x:c>
      <x:c r="E72" s="19" t="str">
        <x:v>DRAFT</x:v>
      </x:c>
      <x:c r="F72" s="19" t="str">
        <x:v>AAI-SRC-0053</x:v>
      </x:c>
    </x:row>
    <x:row r="73" ht="50" customHeight="1">
      <x:c r="A73" s="19" t="str">
        <x:v>AAI-TERM-0072</x:v>
      </x:c>
      <x:c r="B73" s="19" t="str">
        <x:v>Cross-Environment Assurance</x:v>
      </x:c>
      <x:c r="C73" s="19" t="str">
        <x:v>Authorized same-fixture comparison with expected-variance and drift classification</x:v>
      </x:c>
      <x:c r="D73" s="19" t="str">
        <x:v>Access is independently governed per target</x:v>
      </x:c>
      <x:c r="E73" s="19" t="str">
        <x:v>DRAFT</x:v>
      </x:c>
      <x:c r="F73" s="19" t="str">
        <x:v>AAI-SRC-0053</x:v>
      </x:c>
    </x:row>
    <x:row r="74" ht="50" customHeight="1">
      <x:c r="A74" s="19" t="str">
        <x:v>AAI-TERM-0073</x:v>
      </x:c>
      <x:c r="B74" s="19" t="str">
        <x:v>Active Frontier</x:v>
      </x:c>
      <x:c r="C74" s="19" t="str">
        <x:v>Eligible subset selected from current maturity target and relevant subtree</x:v>
      </x:c>
      <x:c r="D74" s="19" t="str">
        <x:v>Known future is not automatically active work</x:v>
      </x:c>
      <x:c r="E74" s="19" t="str">
        <x:v>DRAFT</x:v>
      </x:c>
      <x:c r="F74" s="19" t="str">
        <x:v>AAI-SRC-0053</x:v>
      </x:c>
    </x:row>
    <x:row r="75" ht="50" customHeight="1">
      <x:c r="A75" s="19" t="str">
        <x:v>AAI-TERM-0074</x:v>
      </x:c>
      <x:c r="B75" s="19" t="str">
        <x:v>Multi-Architect Work Distribution</x:v>
      </x:c>
      <x:c r="C75" s="19" t="str">
        <x:v>Assignment from Work Graph using capability/context/ownership/authority/resources</x:v>
      </x:c>
      <x:c r="D75" s="19" t="str">
        <x:v>Not one agent per architect</x:v>
      </x:c>
      <x:c r="E75" s="19" t="str">
        <x:v>DRAFT</x:v>
      </x:c>
      <x:c r="F75" s="19" t="str">
        <x:v>AAI-SRC-0053</x:v>
      </x:c>
    </x:row>
    <x:row r="76" ht="50" customHeight="1">
      <x:c r="A76" s="19" t="str">
        <x:v>AAI-TERM-0075</x:v>
      </x:c>
      <x:c r="B76" s="19" t="str">
        <x:v>Human Portfolio Steering</x:v>
      </x:c>
      <x:c r="C76" s="19" t="str">
        <x:v>Human sets intent/priority/authority while platform derives governed work and evidence</x:v>
      </x:c>
      <x:c r="D76" s="19" t="str">
        <x:v>Not human micromanagement or autonomous scope change</x:v>
      </x:c>
      <x:c r="E76" s="19" t="str">
        <x:v>DRAFT</x:v>
      </x:c>
      <x:c r="F76" s="19" t="str">
        <x:v>AAI-SRC-0053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38" hidden="0" customWidth="1"/>
    <x:col min="4" max="4" width="26" hidden="0" customWidth="1"/>
    <x:col min="5" max="5" width="38" hidden="0" customWidth="1"/>
    <x:col min="6" max="6" width="24" hidden="0" customWidth="1"/>
    <x:col min="7" max="7" width="12" hidden="0" customWidth="1"/>
    <x:col min="8" max="8" width="12" hidden="0" customWidth="1"/>
  </x:cols>
  <x:sheetData>
    <x:row r="1">
      <x:c r="A1" s="121" t="str">
        <x:v>HAPPY — Alignment Before Oleada 3 | DRAFT / PREPARED_NOT_DELIVERED</x:v>
      </x:c>
      <x:c r="B1" s="121"/>
      <x:c r="C1" s="121"/>
      <x:c r="D1" s="121"/>
      <x:c r="E1" s="121"/>
      <x:c r="F1" s="121"/>
      <x:c r="G1" s="121"/>
      <x:c r="H1" s="121"/>
    </x:row>
    <x:row r="2">
      <x:c r="A2" s="121"/>
      <x:c r="B2" s="121"/>
      <x:c r="C2" s="121"/>
      <x:c r="D2" s="121"/>
      <x:c r="E2" s="121"/>
      <x:c r="F2" s="121"/>
      <x:c r="G2" s="121"/>
      <x:c r="H2" s="12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5" t="str">
        <x:v>Control</x:v>
      </x:c>
      <x:c r="B4" s="5" t="str">
        <x:v>State</x:v>
      </x:c>
      <x:c r="C4" s="1"/>
      <x:c r="D4" s="1"/>
      <x:c r="E4" s="1"/>
      <x:c r="F4" s="1"/>
      <x:c r="G4" s="1"/>
      <x:c r="H4" s="1"/>
    </x:row>
    <x:row r="5">
      <x:c r="A5" s="116" t="str">
        <x:v>Global delivery</x:v>
      </x:c>
      <x:c r="B5" s="38" t="str">
        <x:v>PREPARED_NOT_DELIVERED</x:v>
      </x:c>
      <x:c r="C5" s="1"/>
      <x:c r="D5" s="1"/>
      <x:c r="E5" s="1"/>
      <x:c r="F5" s="1"/>
      <x:c r="G5" s="1"/>
      <x:c r="H5" s="1"/>
    </x:row>
    <x:row r="6">
      <x:c r="A6" s="116" t="str">
        <x:v>HAPPY_HANDOFF_READY</x:v>
      </x:c>
      <x:c r="B6" s="38" t="str">
        <x:v>FALSE</x:v>
      </x:c>
      <x:c r="C6" s="1"/>
      <x:c r="D6" s="1"/>
      <x:c r="E6" s="1"/>
      <x:c r="F6" s="1"/>
      <x:c r="G6" s="1"/>
      <x:c r="H6" s="1"/>
    </x:row>
    <x:row r="7">
      <x:c r="A7" s="116" t="str">
        <x:v>Safe Oleada 3</x:v>
      </x:c>
      <x:c r="B7" s="38" t="str">
        <x:v>0004–0008 FORMALIZED_DRAFT</x:v>
      </x:c>
      <x:c r="C7" s="1"/>
      <x:c r="D7" s="1"/>
      <x:c r="E7" s="1"/>
      <x:c r="F7" s="1"/>
      <x:c r="G7" s="1"/>
      <x:c r="H7" s="1"/>
    </x:row>
    <x:row r="8">
      <x:c r="A8" s="116" t="str">
        <x:v>Graph ADR</x:v>
      </x:c>
      <x:c r="B8" s="38" t="str">
        <x:v>DEFERRED_PENDING_EVIDENCE</x:v>
      </x:c>
      <x:c r="C8" s="1"/>
      <x:c r="D8" s="1"/>
      <x:c r="E8" s="1"/>
      <x:c r="F8" s="1"/>
      <x:c r="G8" s="1"/>
      <x:c r="H8" s="1"/>
    </x:row>
    <x:row r="9">
      <x:c r="A9" s="116" t="str">
        <x:v>Next Devin prompt</x:v>
      </x:c>
      <x:c r="B9" s="38" t="str">
        <x:v>PROMPT_SEQUENCE_UNRESOLVED</x:v>
      </x:c>
      <x:c r="C9" s="1"/>
      <x:c r="D9" s="1"/>
      <x:c r="E9" s="1"/>
      <x:c r="F9" s="1"/>
      <x:c r="G9" s="1"/>
      <x:c r="H9" s="1"/>
    </x:row>
    <x:row r="10">
      <x:c r="A10" s="116" t="str">
        <x:v>Sprint spec</x:v>
      </x:c>
      <x:c r="B10" s="38" t="str">
        <x:v>0037 DISCOVERED / SER-010</x:v>
      </x:c>
      <x:c r="C10" s="1"/>
      <x:c r="D10" s="1"/>
      <x:c r="E10" s="1"/>
      <x:c r="F10" s="1"/>
      <x:c r="G10" s="1"/>
      <x:c r="H10" s="1"/>
    </x:row>
    <x:row r="11">
      <x:c r="A11" s="116" t="str">
        <x:v>Blueprint</x:v>
      </x:c>
      <x:c r="B11" s="38" t="str">
        <x:v>PROPOSAL</x:v>
      </x:c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5" t="str">
        <x:v>Area</x:v>
      </x:c>
      <x:c r="B13" s="5" t="str">
        <x:v>Preserved / current</x:v>
      </x:c>
      <x:c r="C13" s="5" t="str">
        <x:v>New delta</x:v>
      </x:c>
      <x:c r="D13" s="5" t="str">
        <x:v>State</x:v>
      </x:c>
      <x:c r="E13" s="5" t="str">
        <x:v>Blocker / next</x:v>
      </x:c>
      <x:c r="F13" s="5" t="str">
        <x:v>Source request</x:v>
      </x:c>
      <x:c r="G13" s="1"/>
      <x:c r="H13" s="1"/>
    </x:row>
    <x:row r="14" ht="42" customHeight="1">
      <x:c r="A14" s="19" t="str">
        <x:v>Validated artifacts</x:v>
      </x:c>
      <x:c r="B14" s="19" t="str">
        <x:v>Dossier, Control Master, Knowledge Pack ZIP</x:v>
      </x:c>
      <x:c r="C14" s="19" t="str">
        <x:v>Control updated incrementally; separate delta</x:v>
      </x:c>
      <x:c r="D14" s="19" t="str">
        <x:v>PRESERVED</x:v>
      </x:c>
      <x:c r="E14" s="19" t="str">
        <x:v>No regeneration</x:v>
      </x:c>
      <x:c r="F14" s="19" t="str"/>
      <x:c r="G14" s="1"/>
      <x:c r="H14" s="1"/>
    </x:row>
    <x:row r="15" ht="42" customHeight="1">
      <x:c r="A15" s="19" t="str">
        <x:v>Handoff model</x:v>
      </x:c>
      <x:c r="B15" s="19" t="str">
        <x:v>Master Context + ledgers</x:v>
      </x:c>
      <x:c r="C15" s="19" t="str">
        <x:v>Docs 39–45</x:v>
      </x:c>
      <x:c r="D15" s="19" t="str">
        <x:v>DRAFT</x:v>
      </x:c>
      <x:c r="E15" s="19" t="str">
        <x:v>Derive runtime-aware bootstrap</x:v>
      </x:c>
      <x:c r="F15" s="19" t="str">
        <x:v>SER-002/009</x:v>
      </x:c>
      <x:c r="G15" s="1"/>
      <x:c r="H15" s="1"/>
    </x:row>
    <x:row r="16" ht="42" customHeight="1">
      <x:c r="A16" s="19" t="str">
        <x:v>Specs 0004–0008</x:v>
      </x:c>
      <x:c r="B16" s="19" t="str">
        <x:v>Detailed source + Wave 2 designs</x:v>
      </x:c>
      <x:c r="C16" s="19" t="str">
        <x:v>5 formal specs + 7 schemas + 5 diagrams</x:v>
      </x:c>
      <x:c r="D16" s="19" t="str">
        <x:v>FORMALIZED_DRAFT</x:v>
      </x:c>
      <x:c r="E16" s="19" t="str">
        <x:v>Map repo and execute tests</x:v>
      </x:c>
      <x:c r="F16" s="19" t="str">
        <x:v>SER-002/006</x:v>
      </x:c>
      <x:c r="G16" s="1"/>
      <x:c r="H16" s="1"/>
    </x:row>
    <x:row r="17" ht="42" customHeight="1">
      <x:c r="A17" s="19" t="str">
        <x:v>Planning/Sprint</x:v>
      </x:c>
      <x:c r="B17" s="19" t="str">
        <x:v>Task/scheduler concepts</x:v>
      </x:c>
      <x:c r="C17" s="19" t="str">
        <x:v>0037 identity + boundary</x:v>
      </x:c>
      <x:c r="D17" s="19" t="str">
        <x:v>DISCOVERED</x:v>
      </x:c>
      <x:c r="E17" s="19" t="str">
        <x:v>Recover historic model</x:v>
      </x:c>
      <x:c r="F17" s="19" t="str">
        <x:v>SER-010</x:v>
      </x:c>
      <x:c r="G17" s="1"/>
      <x:c r="H17" s="1"/>
    </x:row>
    <x:row r="18" ht="42" customHeight="1">
      <x:c r="A18" s="19" t="str">
        <x:v>Graph</x:v>
      </x:c>
      <x:c r="B18" s="19" t="str">
        <x:v>JanusGraph reported; Neo4j direction</x:v>
      </x:c>
      <x:c r="C18" s="19" t="str">
        <x:v>ADR evidence gate</x:v>
      </x:c>
      <x:c r="D18" s="19" t="str">
        <x:v>NOT_READY</x:v>
      </x:c>
      <x:c r="E18" s="19" t="str">
        <x:v>Reconcile all sources/code</x:v>
      </x:c>
      <x:c r="F18" s="19" t="str">
        <x:v>SER-008</x:v>
      </x:c>
      <x:c r="G18" s="1"/>
      <x:c r="H18" s="1"/>
    </x:row>
    <x:row r="19" ht="42" customHeight="1">
      <x:c r="A19" s="19" t="str">
        <x:v>Prompt history</x:v>
      </x:c>
      <x:c r="B19" s="19" t="str">
        <x:v>Devin 00/01 confirmed</x:v>
      </x:c>
      <x:c r="C19" s="19" t="str">
        <x:v>Work target separated; drafts unassigned</x:v>
      </x:c>
      <x:c r="D19" s="19" t="str">
        <x:v>UNRESOLVED</x:v>
      </x:c>
      <x:c r="E19" s="19" t="str">
        <x:v>Recover real run export</x:v>
      </x:c>
      <x:c r="F19" s="19" t="str">
        <x:v>SER-012</x:v>
      </x:c>
      <x:c r="G19" s="1"/>
      <x:c r="H19" s="1"/>
    </x:row>
    <x:row r="20" ht="42" customHeight="1">
      <x:c r="A20" s="19" t="str">
        <x:v>Skills</x:v>
      </x:c>
      <x:c r="B20" s="19" t="str">
        <x:v>16 reported; identities absent</x:v>
      </x:c>
      <x:c r="C20" s="19" t="str">
        <x:v>8 bootstrap candidates</x:v>
      </x:c>
      <x:c r="D20" s="19" t="str">
        <x:v>PROPOSAL</x:v>
      </x:c>
      <x:c r="E20" s="19" t="str">
        <x:v>Discover format/catalog</x:v>
      </x:c>
      <x:c r="F20" s="19" t="str">
        <x:v>SER-005/009</x:v>
      </x:c>
      <x:c r="G20" s="1"/>
      <x:c r="H20" s="1"/>
    </x:row>
    <x:row r="21" ht="42" customHeight="1">
      <x:c r="A21" s="19" t="str">
        <x:v>No-Loss</x:v>
      </x:c>
      <x:c r="B21" s="19" t="str">
        <x:v>Coverage register</x:v>
      </x:c>
      <x:c r="C21" s="19" t="str">
        <x:v>39-area review</x:v>
      </x:c>
      <x:c r="D21" s="19" t="str">
        <x:v>INCOMPLETE</x:v>
      </x:c>
      <x:c r="E21" s="19" t="str">
        <x:v>Close source/traceability gaps</x:v>
      </x:c>
      <x:c r="F21" s="19" t="str">
        <x:v>SER-001..012</x:v>
      </x:c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5" t="str">
        <x:v>Spec</x:v>
      </x:c>
      <x:c r="B23" s="5" t="str">
        <x:v>Formalization</x:v>
      </x:c>
      <x:c r="C23" s="5" t="str">
        <x:v>Implementation</x:v>
      </x:c>
      <x:c r="D23" s="5" t="str">
        <x:v>Tests</x:v>
      </x:c>
      <x:c r="E23" s="5" t="str">
        <x:v>Decision</x:v>
      </x:c>
      <x:c r="F23" s="5" t="str">
        <x:v>Reason</x:v>
      </x:c>
      <x:c r="G23" s="1"/>
      <x:c r="H23" s="1"/>
    </x:row>
    <x:row r="24" ht="42" customHeight="1">
      <x:c r="A24" s="19" t="str">
        <x:v>AAI-SPEC-0004</x:v>
      </x:c>
      <x:c r="B24" s="19" t="str">
        <x:v>READY / COMPLETE DRAFT</x:v>
      </x:c>
      <x:c r="C24" s="19" t="str">
        <x:v>NOT_OBSERVED</x:v>
      </x:c>
      <x:c r="D24" s="19" t="str">
        <x:v>DESIGNED / NOT_EXECUTED</x:v>
      </x:c>
      <x:c r="E24" s="19" t="str">
        <x:v>CONTINUE</x:v>
      </x:c>
      <x:c r="F24" s="19" t="str">
        <x:v>Vendor-neutral promotion contract</x:v>
      </x:c>
      <x:c r="G24" s="1"/>
      <x:c r="H24" s="1"/>
    </x:row>
    <x:row r="25" ht="42" customHeight="1">
      <x:c r="A25" s="19" t="str">
        <x:v>AAI-SPEC-0005</x:v>
      </x:c>
      <x:c r="B25" s="19" t="str">
        <x:v>READY / COMPLETE DRAFT</x:v>
      </x:c>
      <x:c r="C25" s="19" t="str">
        <x:v>PARTIAL_REPORTED</x:v>
      </x:c>
      <x:c r="D25" s="19" t="str">
        <x:v>DESIGNED / NOT_EXECUTED</x:v>
      </x:c>
      <x:c r="E25" s="19" t="str">
        <x:v>CONTINUE</x:v>
      </x:c>
      <x:c r="F25" s="19" t="str">
        <x:v>AWP source detailed</x:v>
      </x:c>
      <x:c r="G25" s="1"/>
      <x:c r="H25" s="1"/>
    </x:row>
    <x:row r="26" ht="42" customHeight="1">
      <x:c r="A26" s="19" t="str">
        <x:v>AAI-SPEC-0006</x:v>
      </x:c>
      <x:c r="B26" s="19" t="str">
        <x:v>READY / COMPLETE DRAFT</x:v>
      </x:c>
      <x:c r="C26" s="19" t="str">
        <x:v>NOT_OBSERVED</x:v>
      </x:c>
      <x:c r="D26" s="19" t="str">
        <x:v>DESIGNED / NOT_EXECUTED</x:v>
      </x:c>
      <x:c r="E26" s="19" t="str">
        <x:v>CONTINUE</x:v>
      </x:c>
      <x:c r="F26" s="19" t="str">
        <x:v>Policy model detailed; real catalog pending</x:v>
      </x:c>
      <x:c r="G26" s="1"/>
      <x:c r="H26" s="1"/>
    </x:row>
    <x:row r="27" ht="42" customHeight="1">
      <x:c r="A27" s="19" t="str">
        <x:v>AAI-SPEC-0007</x:v>
      </x:c>
      <x:c r="B27" s="19" t="str">
        <x:v>READY / COMPLETE DRAFT</x:v>
      </x:c>
      <x:c r="C27" s="19" t="str">
        <x:v>PARTIAL_REPORTED</x:v>
      </x:c>
      <x:c r="D27" s="19" t="str">
        <x:v>DESIGNED / NOT_EXECUTED</x:v>
      </x:c>
      <x:c r="E27" s="19" t="str">
        <x:v>CONTINUE</x:v>
      </x:c>
      <x:c r="F27" s="19" t="str">
        <x:v>Ingestion lifecycle detailed</x:v>
      </x:c>
      <x:c r="G27" s="1"/>
      <x:c r="H27" s="1"/>
    </x:row>
    <x:row r="28" ht="42" customHeight="1">
      <x:c r="A28" s="19" t="str">
        <x:v>AAI-SPEC-0008</x:v>
      </x:c>
      <x:c r="B28" s="19" t="str">
        <x:v>READY / COMPLETE DRAFT</x:v>
      </x:c>
      <x:c r="C28" s="19" t="str">
        <x:v>IMPLEMENTED_REPORTED</x:v>
      </x:c>
      <x:c r="D28" s="19" t="str">
        <x:v>DESIGNED / NOT_EXECUTED</x:v>
      </x:c>
      <x:c r="E28" s="19" t="str">
        <x:v>CONTINUE</x:v>
      </x:c>
      <x:c r="F28" s="19" t="str">
        <x:v>Projection contract independent of graph engine</x:v>
      </x:c>
      <x:c r="G28" s="1"/>
      <x:c r="H28" s="1"/>
    </x:row>
    <x:row r="29" ht="42" customHeight="1">
      <x:c r="A29" s="19" t="str">
        <x:v>AAI-SPEC-0037</x:v>
      </x:c>
      <x:c r="B29" s="19" t="str">
        <x:v>BOUNDARY ONLY</x:v>
      </x:c>
      <x:c r="C29" s="19" t="str">
        <x:v>PARTIAL_OR_UNKNOWN</x:v>
      </x:c>
      <x:c r="D29" s="19" t="str">
        <x:v>NOT_OBSERVED</x:v>
      </x:c>
      <x:c r="E29" s="19" t="str">
        <x:v>DEFER</x:v>
      </x:c>
      <x:c r="F29" s="19" t="str">
        <x:v>Historic Sprint model absent</x:v>
      </x:c>
      <x:c r="G29" s="1"/>
      <x:c r="H29" s="1"/>
    </x:row>
    <x:row r="30" ht="42" customHeight="1">
      <x:c r="A30" s="19" t="str">
        <x:v>Graph ADR</x:v>
      </x:c>
      <x:c r="B30" s="19" t="str">
        <x:v>NOT_READY</x:v>
      </x:c>
      <x:c r="C30" s="19" t="str">
        <x:v>JANUSGRAPH_REPORTED</x:v>
      </x:c>
      <x:c r="D30" s="19" t="str">
        <x:v>SPIKE ABSENT</x:v>
      </x:c>
      <x:c r="E30" s="19" t="str">
        <x:v>DEFER</x:v>
      </x:c>
      <x:c r="F30" s="19" t="str">
        <x:v>Alternatives/code/drift unresolved</x:v>
      </x:c>
      <x:c r="G30" s="1"/>
      <x:c r="H30" s="1"/>
    </x:row>
    <x:row r="31" ht="42" customHeight="1">
      <x:c r="A31" s="19" t="str">
        <x:v>Next Devin prompt</x:v>
      </x:c>
      <x:c r="B31" s="19" t="str">
        <x:v>NOT_DRAFTED</x:v>
      </x:c>
      <x:c r="C31" s="19" t="str">
        <x:v>N/A</x:v>
      </x:c>
      <x:c r="D31" s="19" t="str">
        <x:v>N/A</x:v>
      </x:c>
      <x:c r="E31" s="19" t="str">
        <x:v>DEFER</x:v>
      </x:c>
      <x:c r="F31" s="19" t="str">
        <x:v>PROMPT_SEQUENCE_UNRESOLVED</x:v>
      </x:c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5" t="str">
        <x:v>Bootstrap asset</x:v>
      </x:c>
      <x:c r="B33" s="5" t="str">
        <x:v>Existing coverage</x:v>
      </x:c>
      <x:c r="C33" s="5" t="str">
        <x:v>Action</x:v>
      </x:c>
      <x:c r="D33" s="5" t="str">
        <x:v>State</x:v>
      </x:c>
      <x:c r="E33" s="5" t="str">
        <x:v>Primary dependency</x:v>
      </x:c>
      <x:c r="F33" s="1"/>
      <x:c r="G33" s="1"/>
      <x:c r="H33" s="1"/>
    </x:row>
    <x:row r="34" ht="42" customHeight="1">
      <x:c r="A34" s="19" t="str">
        <x:v>AGENTS.md</x:v>
      </x:c>
      <x:c r="B34" s="19" t="str">
        <x:v>Agent model + policy + specs</x:v>
      </x:c>
      <x:c r="C34" s="19" t="str">
        <x:v>Derive after repo/format discovery</x:v>
      </x:c>
      <x:c r="D34" s="19" t="str">
        <x:v>PARTIAL</x:v>
      </x:c>
      <x:c r="E34" s="19" t="str">
        <x:v>SER-002/005/009</x:v>
      </x:c>
      <x:c r="F34" s="1"/>
      <x:c r="G34" s="1"/>
      <x:c r="H34" s="1"/>
    </x:row>
    <x:row r="35" ht="42" customHeight="1">
      <x:c r="A35" s="19" t="str">
        <x:v>BOOTSTRAP.md</x:v>
      </x:c>
      <x:c r="B35" s="19" t="str">
        <x:v>Master/Alignment/Asset assessment</x:v>
      </x:c>
      <x:c r="C35" s="19" t="str">
        <x:v>Derive skeleton next</x:v>
      </x:c>
      <x:c r="D35" s="19" t="str">
        <x:v>PARTIAL</x:v>
      </x:c>
      <x:c r="E35" s="19" t="str">
        <x:v>No-loss + repo map</x:v>
      </x:c>
      <x:c r="F35" s="1"/>
      <x:c r="G35" s="1"/>
      <x:c r="H35" s="1"/>
    </x:row>
    <x:row r="36" ht="42" customHeight="1">
      <x:c r="A36" s="19" t="str">
        <x:v>CONTEXT_PACK.md</x:v>
      </x:c>
      <x:c r="B36" s="19" t="str">
        <x:v>Master + catalogs + relations</x:v>
      </x:c>
      <x:c r="C36" s="19" t="str">
        <x:v>Optimize after source recovery</x:v>
      </x:c>
      <x:c r="D36" s="19" t="str">
        <x:v>PARTIAL</x:v>
      </x:c>
      <x:c r="E36" s="19" t="str">
        <x:v>SER-001/003</x:v>
      </x:c>
      <x:c r="F36" s="1"/>
      <x:c r="G36" s="1"/>
      <x:c r="H36" s="1"/>
    </x:row>
    <x:row r="37" ht="42" customHeight="1">
      <x:c r="A37" s="19" t="str">
        <x:v>REPOSITORY_MAP.md</x:v>
      </x:c>
      <x:c r="B37" s="19" t="str">
        <x:v>Logical map only</x:v>
      </x:c>
      <x:c r="C37" s="19" t="str">
        <x:v>Do not invent paths</x:v>
      </x:c>
      <x:c r="D37" s="19" t="str">
        <x:v>BLOCKED</x:v>
      </x:c>
      <x:c r="E37" s="19" t="str">
        <x:v>SER-002</x:v>
      </x:c>
      <x:c r="F37" s="1"/>
      <x:c r="G37" s="1"/>
      <x:c r="H37" s="1"/>
    </x:row>
    <x:row r="38" ht="42" customHeight="1">
      <x:c r="A38" s="19" t="str">
        <x:v>EVOLUTION_STRATEGY.md</x:v>
      </x:c>
      <x:c r="B38" s="19" t="str">
        <x:v>Doc 41</x:v>
      </x:c>
      <x:c r="C38" s="19" t="str">
        <x:v>Validate proposal</x:v>
      </x:c>
      <x:c r="D38" s="19" t="str">
        <x:v>DRAFT</x:v>
      </x:c>
      <x:c r="E38" s="19" t="str">
        <x:v>Human validation</x:v>
      </x:c>
      <x:c r="F38" s="1"/>
      <x:c r="G38" s="1"/>
      <x:c r="H38" s="1"/>
    </x:row>
    <x:row r="39" ht="42" customHeight="1">
      <x:c r="A39" s="19" t="str">
        <x:v>CURRENT_IMPLEMENTATION_BASELINE.md</x:v>
      </x:c>
      <x:c r="B39" s="19" t="str">
        <x:v>Derived baseline</x:v>
      </x:c>
      <x:c r="C39" s="19" t="str">
        <x:v>Replace with raw/evidence</x:v>
      </x:c>
      <x:c r="D39" s="19" t="str">
        <x:v>PARTIAL</x:v>
      </x:c>
      <x:c r="E39" s="19" t="str">
        <x:v>SER-003/006</x:v>
      </x:c>
      <x:c r="F39" s="1"/>
      <x:c r="G39" s="1"/>
      <x:c r="H39" s="1"/>
    </x:row>
    <x:row r="40" ht="42" customHeight="1">
      <x:c r="A40" s="19" t="str">
        <x:v>ROADMAP.md</x:v>
      </x:c>
      <x:c r="B40" s="19" t="str">
        <x:v>Existing roadmap + Doc 41</x:v>
      </x:c>
      <x:c r="C40" s="19" t="str">
        <x:v>Correlate NOW/NEXT/LATER</x:v>
      </x:c>
      <x:c r="D40" s="19" t="str">
        <x:v>PARTIAL</x:v>
      </x:c>
      <x:c r="E40" s="19" t="str">
        <x:v>Baseline</x:v>
      </x:c>
      <x:c r="F40" s="1"/>
      <x:c r="G40" s="1"/>
      <x:c r="H40" s="1"/>
    </x:row>
    <x:row r="41" ht="42" customHeight="1">
      <x:c r="A41" s="19" t="str">
        <x:v>HANDOFF_MANIFEST.md</x:v>
      </x:c>
      <x:c r="B41" s="19" t="str">
        <x:v>Delivery ledger</x:v>
      </x:c>
      <x:c r="C41" s="19" t="str">
        <x:v>Derive only when final set stabilizes</x:v>
      </x:c>
      <x:c r="D41" s="19" t="str">
        <x:v>PARTIAL</x:v>
      </x:c>
      <x:c r="E41" s="19" t="str">
        <x:v>All blockers</x:v>
      </x:c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5" t="str">
        <x:v>Candidate Skill</x:v>
      </x:c>
      <x:c r="B43" s="5" t="str">
        <x:v>State</x:v>
      </x:c>
      <x:c r="C43" s="5" t="str">
        <x:v>Purpose</x:v>
      </x:c>
      <x:c r="D43" s="5" t="str">
        <x:v>Gate</x:v>
      </x:c>
      <x:c r="E43" s="1"/>
      <x:c r="F43" s="1"/>
      <x:c r="G43" s="1"/>
      <x:c r="H43" s="1"/>
    </x:row>
    <x:row r="44" ht="42" customHeight="1">
      <x:c r="A44" s="19" t="str">
        <x:v>project-bootstrap</x:v>
      </x:c>
      <x:c r="B44" s="19" t="str">
        <x:v>PROPOSAL</x:v>
      </x:c>
      <x:c r="C44" s="19" t="str">
        <x:v>Load canonical state and gates</x:v>
      </x:c>
      <x:c r="D44" s="19" t="str">
        <x:v>Repo/Devin format</x:v>
      </x:c>
      <x:c r="E44" s="1"/>
      <x:c r="F44" s="1"/>
      <x:c r="G44" s="1"/>
      <x:c r="H44" s="1"/>
    </x:row>
    <x:row r="45" ht="42" customHeight="1">
      <x:c r="A45" s="19" t="str">
        <x:v>spec-first-implementation</x:v>
      </x:c>
      <x:c r="B45" s="19" t="str">
        <x:v>PROPOSAL</x:v>
      </x:c>
      <x:c r="C45" s="19" t="str">
        <x:v>Implement only from versioned spec</x:v>
      </x:c>
      <x:c r="D45" s="19" t="str">
        <x:v>Spec + traceability</x:v>
      </x:c>
      <x:c r="E45" s="1"/>
      <x:c r="F45" s="1"/>
      <x:c r="G45" s="1"/>
      <x:c r="H45" s="1"/>
    </x:row>
    <x:row r="46" ht="42" customHeight="1">
      <x:c r="A46" s="19" t="str">
        <x:v>implementation-gap-analysis</x:v>
      </x:c>
      <x:c r="B46" s="19" t="str">
        <x:v>PROPOSAL</x:v>
      </x:c>
      <x:c r="C46" s="19" t="str">
        <x:v>Compare expected vs observed</x:v>
      </x:c>
      <x:c r="D46" s="19" t="str">
        <x:v>Repo + baseline</x:v>
      </x:c>
      <x:c r="E46" s="1"/>
      <x:c r="F46" s="1"/>
      <x:c r="G46" s="1"/>
      <x:c r="H46" s="1"/>
    </x:row>
    <x:row r="47" ht="42" customHeight="1">
      <x:c r="A47" s="19" t="str">
        <x:v>architecture-change</x:v>
      </x:c>
      <x:c r="B47" s="19" t="str">
        <x:v>PROPOSAL</x:v>
      </x:c>
      <x:c r="C47" s="19" t="str">
        <x:v>Impact/ADR/spec delta</x:v>
      </x:c>
      <x:c r="D47" s="19" t="str">
        <x:v>Decision authority</x:v>
      </x:c>
      <x:c r="E47" s="1"/>
      <x:c r="F47" s="1"/>
      <x:c r="G47" s="1"/>
      <x:c r="H47" s="1"/>
    </x:row>
    <x:row r="48" ht="42" customHeight="1">
      <x:c r="A48" s="19" t="str">
        <x:v>test-and-verification</x:v>
      </x:c>
      <x:c r="B48" s="19" t="str">
        <x:v>PROPOSAL</x:v>
      </x:c>
      <x:c r="C48" s="19" t="str">
        <x:v>Execute and preserve evidence</x:v>
      </x:c>
      <x:c r="D48" s="19" t="str">
        <x:v>Java 21/toolchain</x:v>
      </x:c>
      <x:c r="E48" s="1"/>
      <x:c r="F48" s="1"/>
      <x:c r="G48" s="1"/>
      <x:c r="H48" s="1"/>
    </x:row>
    <x:row r="49" ht="42" customHeight="1">
      <x:c r="A49" s="19" t="str">
        <x:v>knowledge-migration</x:v>
      </x:c>
      <x:c r="B49" s="19" t="str">
        <x:v>PROPOSAL</x:v>
      </x:c>
      <x:c r="C49" s="19" t="str">
        <x:v>Migrate without provenance loss</x:v>
      </x:c>
      <x:c r="D49" s="19" t="str">
        <x:v>Source/target contracts</x:v>
      </x:c>
      <x:c r="E49" s="1"/>
      <x:c r="F49" s="1"/>
      <x:c r="G49" s="1"/>
      <x:c r="H49" s="1"/>
    </x:row>
    <x:row r="50" ht="42" customHeight="1">
      <x:c r="A50" s="19" t="str">
        <x:v>dependency-impact-analysis</x:v>
      </x:c>
      <x:c r="B50" s="19" t="str">
        <x:v>PROPOSAL</x:v>
      </x:c>
      <x:c r="C50" s="19" t="str">
        <x:v>Trace downstream effects</x:v>
      </x:c>
      <x:c r="D50" s="19" t="str">
        <x:v>Relationship map + repo</x:v>
      </x:c>
      <x:c r="E50" s="1"/>
      <x:c r="F50" s="1"/>
      <x:c r="G50" s="1"/>
      <x:c r="H50" s="1"/>
    </x:row>
    <x:row r="51" ht="42" customHeight="1">
      <x:c r="A51" s="19" t="str">
        <x:v>planning-execution</x:v>
      </x:c>
      <x:c r="B51" s="19" t="str">
        <x:v>PROPOSAL</x:v>
      </x:c>
      <x:c r="C51" s="19" t="str">
        <x:v>Derive and close governed Work Items</x:v>
      </x:c>
      <x:c r="D51" s="19" t="str">
        <x:v>SER-010 + 0037</x:v>
      </x:c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5" t="str">
        <x:v>SER</x:v>
      </x:c>
      <x:c r="B53" s="5" t="str">
        <x:v>Required source</x:v>
      </x:c>
      <x:c r="C53" s="5" t="str">
        <x:v>Priority</x:v>
      </x:c>
      <x:c r="D53" s="5" t="str">
        <x:v>Blocks</x:v>
      </x:c>
      <x:c r="E53" s="5" t="str">
        <x:v>State</x:v>
      </x:c>
      <x:c r="F53" s="5" t="str">
        <x:v>Do not infer</x:v>
      </x:c>
      <x:c r="G53" s="1"/>
      <x:c r="H53" s="1"/>
    </x:row>
    <x:row r="54" ht="42" customHeight="1">
      <x:c r="A54" s="19" t="str">
        <x:v>SER-001</x:v>
      </x:c>
      <x:c r="B54" s="19" t="str">
        <x:v>Raw chats with message IDs</x:v>
      </x:c>
      <x:c r="C54" s="19" t="str">
        <x:v>CRITICAL</x:v>
      </x:c>
      <x:c r="D54" s="19" t="str">
        <x:v>No-Loss/exhaustiveness</x:v>
      </x:c>
      <x:c r="E54" s="19" t="str">
        <x:v>OPEN</x:v>
      </x:c>
      <x:c r="F54" s="19" t="str">
        <x:v>Missing conversation detail</x:v>
      </x:c>
      <x:c r="G54" s="1"/>
      <x:c r="H54" s="1"/>
    </x:row>
    <x:row r="55" ht="42" customHeight="1">
      <x:c r="A55" s="19" t="str">
        <x:v>SER-002</x:v>
      </x:c>
      <x:c r="B55" s="19" t="str">
        <x:v>Architecture AI source repo</x:v>
      </x:c>
      <x:c r="C55" s="19" t="str">
        <x:v>CRITICAL</x:v>
      </x:c>
      <x:c r="D55" s="19" t="str">
        <x:v>Code mapping/repo map</x:v>
      </x:c>
      <x:c r="E55" s="19" t="str">
        <x:v>OPEN</x:v>
      </x:c>
      <x:c r="F55" s="19" t="str">
        <x:v>Paths/classes/tests</x:v>
      </x:c>
      <x:c r="G55" s="1"/>
      <x:c r="H55" s="1"/>
    </x:row>
    <x:row r="56" ht="42" customHeight="1">
      <x:c r="A56" s="19" t="str">
        <x:v>SER-003</x:v>
      </x:c>
      <x:c r="B56" s="19" t="str">
        <x:v>Original Devin baseline</x:v>
      </x:c>
      <x:c r="C56" s="19" t="str">
        <x:v>CRITICAL</x:v>
      </x:c>
      <x:c r="D56" s="19" t="str">
        <x:v>Implementation evidence</x:v>
      </x:c>
      <x:c r="E56" s="19" t="str">
        <x:v>OPEN</x:v>
      </x:c>
      <x:c r="F56" s="19" t="str">
        <x:v>Raw counts/results</x:v>
      </x:c>
      <x:c r="G56" s="1"/>
      <x:c r="H56" s="1"/>
    </x:row>
    <x:row r="57" ht="42" customHeight="1">
      <x:c r="A57" s="19" t="str">
        <x:v>SER-004</x:v>
      </x:c>
      <x:c r="B57" s="19" t="str">
        <x:v>Exact 30 MCP tools</x:v>
      </x:c>
      <x:c r="C57" s="19" t="str">
        <x:v>HIGH</x:v>
      </x:c>
      <x:c r="D57" s="19" t="str">
        <x:v>Tool catalog/policy</x:v>
      </x:c>
      <x:c r="E57" s="19" t="str">
        <x:v>OPEN</x:v>
      </x:c>
      <x:c r="F57" s="19" t="str">
        <x:v>Names/schemas/handlers</x:v>
      </x:c>
      <x:c r="G57" s="1"/>
      <x:c r="H57" s="1"/>
    </x:row>
    <x:row r="58" ht="42" customHeight="1">
      <x:c r="A58" s="19" t="str">
        <x:v>SER-005</x:v>
      </x:c>
      <x:c r="B58" s="19" t="str">
        <x:v>Exact 16 Skills</x:v>
      </x:c>
      <x:c r="C58" s="19" t="str">
        <x:v>HIGH</x:v>
      </x:c>
      <x:c r="D58" s="19" t="str">
        <x:v>Agent/Skill map</x:v>
      </x:c>
      <x:c r="E58" s="19" t="str">
        <x:v>OPEN</x:v>
      </x:c>
      <x:c r="F58" s="19" t="str">
        <x:v>Identities/consumers</x:v>
      </x:c>
      <x:c r="G58" s="1"/>
      <x:c r="H58" s="1"/>
    </x:row>
    <x:row r="59" ht="42" customHeight="1">
      <x:c r="A59" s="19" t="str">
        <x:v>SER-006</x:v>
      </x:c>
      <x:c r="B59" s="19" t="str">
        <x:v>Java 21 build/test evidence</x:v>
      </x:c>
      <x:c r="C59" s="19" t="str">
        <x:v>CRITICAL</x:v>
      </x:c>
      <x:c r="D59" s="19" t="str">
        <x:v>Verification</x:v>
      </x:c>
      <x:c r="E59" s="19" t="str">
        <x:v>OPEN</x:v>
      </x:c>
      <x:c r="F59" s="19" t="str">
        <x:v>Passed tests</x:v>
      </x:c>
      <x:c r="G59" s="1"/>
      <x:c r="H59" s="1"/>
    </x:row>
    <x:row r="60" ht="42" customHeight="1">
      <x:c r="A60" s="19" t="str">
        <x:v>SER-007</x:v>
      </x:c>
      <x:c r="B60" s="19" t="str">
        <x:v>Bank catalogs/policies</x:v>
      </x:c>
      <x:c r="C60" s="19" t="str">
        <x:v>HIGH</x:v>
      </x:c>
      <x:c r="D60" s="19" t="str">
        <x:v>Institutional truth</x:v>
      </x:c>
      <x:c r="E60" s="19" t="str">
        <x:v>OPEN</x:v>
      </x:c>
      <x:c r="F60" s="19" t="str">
        <x:v>Owners/controls/versions</x:v>
      </x:c>
      <x:c r="G60" s="1"/>
      <x:c r="H60" s="1"/>
    </x:row>
    <x:row r="61" ht="42" customHeight="1">
      <x:c r="A61" s="19" t="str">
        <x:v>SER-008</x:v>
      </x:c>
      <x:c r="B61" s="19" t="str">
        <x:v>Graph decision corpus/code</x:v>
      </x:c>
      <x:c r="C61" s="19" t="str">
        <x:v>CRITICAL</x:v>
      </x:c>
      <x:c r="D61" s="19" t="str">
        <x:v>Graph ADR</x:v>
      </x:c>
      <x:c r="E61" s="19" t="str">
        <x:v>OPEN</x:v>
      </x:c>
      <x:c r="F61" s="19" t="str">
        <x:v>Final engine</x:v>
      </x:c>
      <x:c r="G61" s="1"/>
      <x:c r="H61" s="1"/>
    </x:row>
    <x:row r="62" ht="42" customHeight="1">
      <x:c r="A62" s="19" t="str">
        <x:v>SER-009</x:v>
      </x:c>
      <x:c r="B62" s="19" t="str">
        <x:v>Devin Desktop/API capabilities</x:v>
      </x:c>
      <x:c r="C62" s="19" t="str">
        <x:v>HIGH</x:v>
      </x:c>
      <x:c r="D62" s="19" t="str">
        <x:v>Bootstrap/Desktop</x:v>
      </x:c>
      <x:c r="E62" s="19" t="str">
        <x:v>OPEN</x:v>
      </x:c>
      <x:c r="F62" s="19" t="str">
        <x:v>Extension/Skill support</x:v>
      </x:c>
      <x:c r="G62" s="1"/>
      <x:c r="H62" s="1"/>
    </x:row>
    <x:row r="63" ht="42" customHeight="1">
      <x:c r="A63" s="19" t="str">
        <x:v>SER-010</x:v>
      </x:c>
      <x:c r="B63" s="19" t="str">
        <x:v>Historic Sprint model</x:v>
      </x:c>
      <x:c r="C63" s="19" t="str">
        <x:v>HIGH</x:v>
      </x:c>
      <x:c r="D63" s="19" t="str">
        <x:v>AAI-SPEC-0037</x:v>
      </x:c>
      <x:c r="E63" s="19" t="str">
        <x:v>OPEN</x:v>
      </x:c>
      <x:c r="F63" s="19" t="str">
        <x:v>States/fields/rules</x:v>
      </x:c>
      <x:c r="G63" s="1"/>
      <x:c r="H63" s="1"/>
    </x:row>
    <x:row r="64" ht="42" customHeight="1">
      <x:c r="A64" s="19" t="str">
        <x:v>SER-011</x:v>
      </x:c>
      <x:c r="B64" s="19" t="str">
        <x:v>Standards/JSR/RFC corpus</x:v>
      </x:c>
      <x:c r="C64" s="19" t="str">
        <x:v>MEDIUM</x:v>
      </x:c>
      <x:c r="D64" s="19" t="str">
        <x:v>No-Loss references</x:v>
      </x:c>
      <x:c r="E64" s="19" t="str">
        <x:v>OPEN</x:v>
      </x:c>
      <x:c r="F64" s="19" t="str">
        <x:v>Adoption status</x:v>
      </x:c>
      <x:c r="G64" s="1"/>
      <x:c r="H64" s="1"/>
    </x:row>
    <x:row r="65" ht="42" customHeight="1">
      <x:c r="A65" s="19" t="str">
        <x:v>SER-012</x:v>
      </x:c>
      <x:c r="B65" s="19" t="str">
        <x:v>Real prompt/run export</x:v>
      </x:c>
      <x:c r="C65" s="19" t="str">
        <x:v>CRITICAL</x:v>
      </x:c>
      <x:c r="D65" s="19" t="str">
        <x:v>Next prompt number</x:v>
      </x:c>
      <x:c r="E65" s="19" t="str">
        <x:v>OPEN</x:v>
      </x:c>
      <x:c r="F65" s="19" t="str">
        <x:v>Sequence/status</x:v>
      </x:c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 ht="54" customHeight="1">
      <x:c r="A67" s="42" t="str">
        <x:v>Automatic next block: formalize AAI-SPEC-0009/0010 and derive a non-runtime-specific bootstrap skeleton; keep Graph ADR, 0037 full spec, exact catalogs, Java verification and new Devin prompt deferred.</x:v>
      </x:c>
      <x:c r="B67" s="42"/>
      <x:c r="C67" s="42"/>
      <x:c r="D67" s="42"/>
      <x:c r="E67" s="42"/>
      <x:c r="F67" s="42"/>
      <x:c r="G67" s="42"/>
      <x:c r="H67" s="42"/>
    </x:row>
  </x:sheetData>
  <x:mergeCells>
    <x:mergeCell ref="A1:H2"/>
    <x:mergeCell ref="A67:H6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38" hidden="0" customWidth="1"/>
    <x:col min="4" max="4" width="34" hidden="0" customWidth="1"/>
    <x:col min="5" max="5" width="35" hidden="0" customWidth="1"/>
    <x:col min="6" max="6" width="42" hidden="0" customWidth="1"/>
    <x:col min="7" max="7" width="12" hidden="0" customWidth="1"/>
    <x:col min="8" max="8" width="12" hidden="0" customWidth="1"/>
  </x:cols>
  <x:sheetData>
    <x:row r="1">
      <x:c r="A1" s="122" t="str">
        <x:v>HAPPY — Oleada 3B | Work Lifecycle + Bootstrap Skeleton | DRAFT / PREPARED_NOT_DELIVERED</x:v>
      </x:c>
      <x:c r="B1" s="122"/>
      <x:c r="C1" s="122"/>
      <x:c r="D1" s="122"/>
      <x:c r="E1" s="122"/>
      <x:c r="F1" s="122"/>
      <x:c r="G1" s="122"/>
      <x:c r="H1" s="122"/>
    </x:row>
    <x:row r="2">
      <x:c r="A2" s="122"/>
      <x:c r="B2" s="122"/>
      <x:c r="C2" s="122"/>
      <x:c r="D2" s="122"/>
      <x:c r="E2" s="122"/>
      <x:c r="F2" s="122"/>
      <x:c r="G2" s="122"/>
      <x:c r="H2" s="122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5" t="str">
        <x:v>Control</x:v>
      </x:c>
      <x:c r="B4" s="5" t="str">
        <x:v>State</x:v>
      </x:c>
      <x:c r="C4" s="1"/>
      <x:c r="D4" s="1"/>
      <x:c r="E4" s="1"/>
      <x:c r="F4" s="1"/>
      <x:c r="G4" s="1"/>
      <x:c r="H4" s="1"/>
    </x:row>
    <x:row r="5">
      <x:c r="A5" s="116" t="str">
        <x:v>Oleada 3B</x:v>
      </x:c>
      <x:c r="B5" s="38" t="str">
        <x:v>COMPLETED_DOCUMENTARY_DELTA</x:v>
      </x:c>
      <x:c r="C5" s="1"/>
      <x:c r="D5" s="1"/>
      <x:c r="E5" s="1"/>
      <x:c r="F5" s="1"/>
      <x:c r="G5" s="1"/>
      <x:c r="H5" s="1"/>
    </x:row>
    <x:row r="6">
      <x:c r="A6" s="116" t="str">
        <x:v>Global delivery</x:v>
      </x:c>
      <x:c r="B6" s="38" t="str">
        <x:v>PREPARED_NOT_DELIVERED</x:v>
      </x:c>
      <x:c r="C6" s="1"/>
      <x:c r="D6" s="1"/>
      <x:c r="E6" s="1"/>
      <x:c r="F6" s="1"/>
      <x:c r="G6" s="1"/>
      <x:c r="H6" s="1"/>
    </x:row>
    <x:row r="7">
      <x:c r="A7" s="116" t="str">
        <x:v>HAPPY_HANDOFF_READY</x:v>
      </x:c>
      <x:c r="B7" s="38" t="str">
        <x:v>FALSE</x:v>
      </x:c>
      <x:c r="C7" s="1"/>
      <x:c r="D7" s="1"/>
      <x:c r="E7" s="1"/>
      <x:c r="F7" s="1"/>
      <x:c r="G7" s="1"/>
      <x:c r="H7" s="1"/>
    </x:row>
    <x:row r="8">
      <x:c r="A8" s="116" t="str">
        <x:v>Formal AAI Specs</x:v>
      </x:c>
      <x:c r="B8" s="38" t="str">
        <x:v>10 total; 0009/0010 added</x:v>
      </x:c>
      <x:c r="C8" s="1"/>
      <x:c r="D8" s="1"/>
      <x:c r="E8" s="1"/>
      <x:c r="F8" s="1"/>
      <x:c r="G8" s="1"/>
      <x:c r="H8" s="1"/>
    </x:row>
    <x:row r="9">
      <x:c r="A9" s="116" t="str">
        <x:v>AAI-SPEC-0036</x:v>
      </x:c>
      <x:c r="B9" s="38" t="str">
        <x:v>DISCOVERED / PROVISIONAL LIFECYCLE CONTRACTS</x:v>
      </x:c>
      <x:c r="C9" s="1"/>
      <x:c r="D9" s="1"/>
      <x:c r="E9" s="1"/>
      <x:c r="F9" s="1"/>
      <x:c r="G9" s="1"/>
      <x:c r="H9" s="1"/>
    </x:row>
    <x:row r="10">
      <x:c r="A10" s="116" t="str">
        <x:v>AAI-SPEC-0037</x:v>
      </x:c>
      <x:c r="B10" s="38" t="str">
        <x:v>DISCOVERED / SER-010</x:v>
      </x:c>
      <x:c r="C10" s="1"/>
      <x:c r="D10" s="1"/>
      <x:c r="E10" s="1"/>
      <x:c r="F10" s="1"/>
      <x:c r="G10" s="1"/>
      <x:c r="H10" s="1"/>
    </x:row>
    <x:row r="11">
      <x:c r="A11" s="116" t="str">
        <x:v>Graph ADR</x:v>
      </x:c>
      <x:c r="B11" s="38" t="str">
        <x:v>DEFERRED_PENDING_EVIDENCE</x:v>
      </x:c>
      <x:c r="C11" s="1"/>
      <x:c r="D11" s="1"/>
      <x:c r="E11" s="1"/>
      <x:c r="F11" s="1"/>
      <x:c r="G11" s="1"/>
      <x:c r="H11" s="1"/>
    </x:row>
    <x:row r="12">
      <x:c r="A12" s="116" t="str">
        <x:v>Next Devin prompt</x:v>
      </x:c>
      <x:c r="B12" s="38" t="str">
        <x:v>PROMPT_SEQUENCE_UNRESOLVED / NONE CREATED</x:v>
      </x:c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5" t="str">
        <x:v>Spec</x:v>
      </x:c>
      <x:c r="B14" s="5" t="str">
        <x:v>Design status</x:v>
      </x:c>
      <x:c r="C14" s="5" t="str">
        <x:v>Implementation</x:v>
      </x:c>
      <x:c r="D14" s="5" t="str">
        <x:v>Contracts</x:v>
      </x:c>
      <x:c r="E14" s="5" t="str">
        <x:v>Diagrams</x:v>
      </x:c>
      <x:c r="F14" s="5" t="str">
        <x:v>Blocking source</x:v>
      </x:c>
      <x:c r="G14" s="1"/>
      <x:c r="H14" s="1"/>
    </x:row>
    <x:row r="15" ht="44" customHeight="1">
      <x:c r="A15" s="19" t="str">
        <x:v>AAI-SPEC-0009</x:v>
      </x:c>
      <x:c r="B15" s="19" t="str">
        <x:v>FORMALIZED_DRAFT v0.1.0</x:v>
      </x:c>
      <x:c r="C15" s="19" t="str">
        <x:v>PARTIAL_OR_UNKNOWN / NOT_VERIFIED</x:v>
      </x:c>
      <x:c r="D15" s="19" t="str">
        <x:v>ArchitectureTask; DelegationRecord; WorkLifecycleEvent; StateUpdateDelta; Envelope</x:v>
      </x:c>
      <x:c r="E15" s="19" t="str">
        <x:v>HK-DGM-0009/0011/0012</x:v>
      </x:c>
      <x:c r="F15" s="19" t="str">
        <x:v>SER-002; SER-005; SER-010 for Sprint only</x:v>
      </x:c>
      <x:c r="G15" s="1"/>
      <x:c r="H15" s="1"/>
    </x:row>
    <x:row r="16" ht="44" customHeight="1">
      <x:c r="A16" s="19" t="str">
        <x:v>AAI-SPEC-0010</x:v>
      </x:c>
      <x:c r="B16" s="19" t="str">
        <x:v>FORMALIZED_DRAFT v0.1.0</x:v>
      </x:c>
      <x:c r="C16" s="19" t="str">
        <x:v>NOT_OBSERVED</x:v>
      </x:c>
      <x:c r="D16" s="19" t="str">
        <x:v>ArchitectureQuestion; QuestionLifecycleEvent; StateUpdateDelta; Envelope</x:v>
      </x:c>
      <x:c r="E16" s="19" t="str">
        <x:v>HK-DGM-0010/0011/0012</x:v>
      </x:c>
      <x:c r="F16" s="19" t="str">
        <x:v>SER-002; org/owner evidence</x:v>
      </x:c>
      <x:c r="G16" s="1"/>
      <x:c r="H16" s="1"/>
    </x:row>
    <x:row r="17" ht="44" customHeight="1">
      <x:c r="A17" s="19" t="str">
        <x:v>AAI-SPEC-0036</x:v>
      </x:c>
      <x:c r="B17" s="19" t="str">
        <x:v>DISCOVERED</x:v>
      </x:c>
      <x:c r="C17" s="19" t="str">
        <x:v>PARTIAL_OR_UNKNOWN / NOT_VERIFIED</x:v>
      </x:c>
      <x:c r="D17" s="19" t="str">
        <x:v>Envelope and two payload schemas are PROVISIONAL</x:v>
      </x:c>
      <x:c r="E17" s="19" t="str">
        <x:v>HK-DGM-0012 correlation only</x:v>
      </x:c>
      <x:c r="F17" s="19" t="str">
        <x:v>SER-002 for producers/consumers/transport/ordering/retry/outbox</x:v>
      </x:c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5" t="str">
        <x:v>Bootstrap asset</x:v>
      </x:c>
      <x:c r="B19" s="5" t="str">
        <x:v>Classification support</x:v>
      </x:c>
      <x:c r="C19" s="5" t="str">
        <x:v>State</x:v>
      </x:c>
      <x:c r="D19" s="5" t="str">
        <x:v>Can execute now</x:v>
      </x:c>
      <x:c r="E19" s="5" t="str">
        <x:v>Primary blockers</x:v>
      </x:c>
      <x:c r="F19" s="1"/>
      <x:c r="G19" s="1"/>
      <x:c r="H19" s="1"/>
    </x:row>
    <x:row r="20" ht="44" customHeight="1">
      <x:c r="A20" s="19" t="str">
        <x:v>AGENTS.md</x:v>
      </x:c>
      <x:c r="B20" s="19" t="str">
        <x:v>CANONICAL / DERIVED / PROPOSAL / BLOCKED_BY_SOURCE</x:v>
      </x:c>
      <x:c r="C20" s="19" t="str">
        <x:v>SKELETON_DRAFT</x:v>
      </x:c>
      <x:c r="D20" s="19" t="str">
        <x:v>NO</x:v>
      </x:c>
      <x:c r="E20" s="19" t="str">
        <x:v>SER-002/004/005/009</x:v>
      </x:c>
      <x:c r="F20" s="1"/>
      <x:c r="G20" s="1"/>
      <x:c r="H20" s="1"/>
    </x:row>
    <x:row r="21" ht="44" customHeight="1">
      <x:c r="A21" s="19" t="str">
        <x:v>BOOTSTRAP.md</x:v>
      </x:c>
      <x:c r="B21" s="19" t="str">
        <x:v>CANONICAL / DERIVED / PROPOSAL / BLOCKED_BY_SOURCE</x:v>
      </x:c>
      <x:c r="C21" s="19" t="str">
        <x:v>SKELETON_DRAFT</x:v>
      </x:c>
      <x:c r="D21" s="19" t="str">
        <x:v>NO</x:v>
      </x:c>
      <x:c r="E21" s="19" t="str">
        <x:v>SER-002/005/009/010</x:v>
      </x:c>
      <x:c r="F21" s="1"/>
      <x:c r="G21" s="1"/>
      <x:c r="H21" s="1"/>
    </x:row>
    <x:row r="22" ht="44" customHeight="1">
      <x:c r="A22" s="19" t="str">
        <x:v>CONTEXT_PACK.md</x:v>
      </x:c>
      <x:c r="B22" s="19" t="str">
        <x:v>CANONICAL / DERIVED / PROPOSAL / BLOCKED_BY_SOURCE</x:v>
      </x:c>
      <x:c r="C22" s="19" t="str">
        <x:v>SKELETON_DRAFT</x:v>
      </x:c>
      <x:c r="D22" s="19" t="str">
        <x:v>NO</x:v>
      </x:c>
      <x:c r="E22" s="19" t="str">
        <x:v>SER-001/002/003/007/011</x:v>
      </x:c>
      <x:c r="F22" s="1"/>
      <x:c r="G22" s="1"/>
      <x:c r="H22" s="1"/>
    </x:row>
    <x:row r="23" ht="44" customHeight="1">
      <x:c r="A23" s="19" t="str">
        <x:v>REPOSITORY_MAP.md</x:v>
      </x:c>
      <x:c r="B23" s="19" t="str">
        <x:v>CANONICAL / DERIVED / PROPOSAL / BLOCKED_BY_SOURCE</x:v>
      </x:c>
      <x:c r="C23" s="19" t="str">
        <x:v>SKELETON_DRAFT_LOGICAL_ONLY</x:v>
      </x:c>
      <x:c r="D23" s="19" t="str">
        <x:v>NO</x:v>
      </x:c>
      <x:c r="E23" s="19" t="str">
        <x:v>SER-002</x:v>
      </x:c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5" t="str">
        <x:v>New relationship</x:v>
      </x:c>
      <x:c r="B25" s="5" t="str">
        <x:v>Source</x:v>
      </x:c>
      <x:c r="C25" s="5" t="str">
        <x:v>Verb</x:v>
      </x:c>
      <x:c r="D25" s="5" t="str">
        <x:v>Target</x:v>
      </x:c>
      <x:c r="E25" s="5" t="str">
        <x:v>Guard</x:v>
      </x:c>
      <x:c r="F25" s="1"/>
      <x:c r="G25" s="1"/>
      <x:c r="H25" s="1"/>
    </x:row>
    <x:row r="26" ht="44" customHeight="1">
      <x:c r="A26" s="19" t="str">
        <x:v>REL-0073/0074</x:v>
      </x:c>
      <x:c r="B26" s="19" t="str">
        <x:v>0009</x:v>
      </x:c>
      <x:c r="C26" s="19" t="str">
        <x:v>CONSUMES / GOVERNED_BY</x:v>
      </x:c>
      <x:c r="D26" s="19" t="str">
        <x:v>0005 / 0006</x:v>
      </x:c>
      <x:c r="E26" s="19" t="str">
        <x:v>Work Package + policy</x:v>
      </x:c>
      <x:c r="F26" s="1"/>
      <x:c r="G26" s="1"/>
      <x:c r="H26" s="1"/>
    </x:row>
    <x:row r="27" ht="44" customHeight="1">
      <x:c r="A27" s="19" t="str">
        <x:v>REL-0075/0076</x:v>
      </x:c>
      <x:c r="B27" s="19" t="str">
        <x:v>0009</x:v>
      </x:c>
      <x:c r="C27" s="19" t="str">
        <x:v>DELEGATES_TO / MAY_OPEN</x:v>
      </x:c>
      <x:c r="D27" s="19" t="str">
        <x:v>0015 / 0010</x:v>
      </x:c>
      <x:c r="E27" s="19" t="str">
        <x:v>bounded delegation; no inference</x:v>
      </x:c>
      <x:c r="F27" s="1"/>
      <x:c r="G27" s="1"/>
      <x:c r="H27" s="1"/>
    </x:row>
    <x:row r="28" ht="44" customHeight="1">
      <x:c r="A28" s="19" t="str">
        <x:v>REL-0077/0078</x:v>
      </x:c>
      <x:c r="B28" s="19" t="str">
        <x:v>0009</x:v>
      </x:c>
      <x:c r="C28" s="19" t="str">
        <x:v>VERIFIED_BY / MONITORED_BY</x:v>
      </x:c>
      <x:c r="D28" s="19" t="str">
        <x:v>0022 / 0029</x:v>
      </x:c>
      <x:c r="E28" s="19" t="str">
        <x:v>evidence and observability</x:v>
      </x:c>
      <x:c r="F28" s="1"/>
      <x:c r="G28" s="1"/>
      <x:c r="H28" s="1"/>
    </x:row>
    <x:row r="29" ht="44" customHeight="1">
      <x:c r="A29" s="19" t="str">
        <x:v>REL-0079</x:v>
      </x:c>
      <x:c r="B29" s="19" t="str">
        <x:v>0009</x:v>
      </x:c>
      <x:c r="C29" s="19" t="str">
        <x:v>PRODUCES</x:v>
      </x:c>
      <x:c r="D29" s="19" t="str">
        <x:v>0036 lifecycle events</x:v>
      </x:c>
      <x:c r="E29" s="19" t="str">
        <x:v>provisional event contract</x:v>
      </x:c>
      <x:c r="F29" s="1"/>
      <x:c r="G29" s="1"/>
      <x:c r="H29" s="1"/>
    </x:row>
    <x:row r="30" ht="44" customHeight="1">
      <x:c r="A30" s="19" t="str">
        <x:v>REL-0080..0082</x:v>
      </x:c>
      <x:c r="B30" s="19" t="str">
        <x:v>0010</x:v>
      </x:c>
      <x:c r="C30" s="19" t="str">
        <x:v>MAY_BLOCK / ROUTES_VIA / VALIDATED_BY</x:v>
      </x:c>
      <x:c r="D30" s="19" t="str">
        <x:v>0009 / 0016 / 0020</x:v>
      </x:c>
      <x:c r="E30" s="19" t="str">
        <x:v>authority + assurance</x:v>
      </x:c>
      <x:c r="F30" s="1"/>
      <x:c r="G30" s="1"/>
      <x:c r="H30" s="1"/>
    </x:row>
    <x:row r="31" ht="44" customHeight="1">
      <x:c r="A31" s="19" t="str">
        <x:v>REL-0083/0084</x:v>
      </x:c>
      <x:c r="B31" s="19" t="str">
        <x:v>0010</x:v>
      </x:c>
      <x:c r="C31" s="19" t="str">
        <x:v>MAY_TRIGGER / MAY_PRODUCE</x:v>
      </x:c>
      <x:c r="D31" s="19" t="str">
        <x:v>ingestion/promotion / ADR-risk-task</x:v>
      </x:c>
      <x:c r="E31" s="19" t="str">
        <x:v>separate governed artifacts</x:v>
      </x:c>
      <x:c r="F31" s="1"/>
      <x:c r="G31" s="1"/>
      <x:c r="H31" s="1"/>
    </x:row>
    <x:row r="32" ht="44" customHeight="1">
      <x:c r="A32" s="19" t="str">
        <x:v>REL-0085/0086</x:v>
      </x:c>
      <x:c r="B32" s="19" t="str">
        <x:v>0010 / 0036</x:v>
      </x:c>
      <x:c r="C32" s="19" t="str">
        <x:v>PRODUCES / ENVELOPES</x:v>
      </x:c>
      <x:c r="D32" s="19" t="str">
        <x:v>lifecycle events</x:v>
      </x:c>
      <x:c r="E32" s="19" t="str">
        <x:v>transport remains open</x:v>
      </x:c>
      <x:c r="F32" s="1"/>
      <x:c r="G32" s="1"/>
      <x:c r="H32" s="1"/>
    </x:row>
    <x:row r="33" ht="44" customHeight="1">
      <x:c r="A33" s="19" t="str">
        <x:v>REL-0087/0088</x:v>
      </x:c>
      <x:c r="B33" s="19" t="str">
        <x:v>State delta / Bootstrap</x:v>
      </x:c>
      <x:c r="C33" s="19" t="str">
        <x:v>REALIZES / SELECTS_NEXT</x:v>
      </x:c>
      <x:c r="D33" s="19" t="str">
        <x:v>0009/0010 / Work Item</x:v>
      </x:c>
      <x:c r="E33" s="19" t="str">
        <x:v>evidence gates; no Sprint invention</x:v>
      </x:c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5" t="str">
        <x:v>Priority</x:v>
      </x:c>
      <x:c r="B35" s="5" t="str">
        <x:v>SER</x:v>
      </x:c>
      <x:c r="C35" s="5" t="str">
        <x:v>Why now</x:v>
      </x:c>
      <x:c r="D35" s="5" t="str">
        <x:v>Unblocks</x:v>
      </x:c>
      <x:c r="E35" s="5" t="str">
        <x:v>State</x:v>
      </x:c>
      <x:c r="F35" s="5" t="str">
        <x:v>Constraint</x:v>
      </x:c>
      <x:c r="G35" s="1"/>
      <x:c r="H35" s="1"/>
    </x:row>
    <x:row r="36" ht="44" customHeight="1">
      <x:c r="A36" s="19" t="n">
        <x:v>1</x:v>
      </x:c>
      <x:c r="B36" s="19" t="str">
        <x:v>SER-002</x:v>
      </x:c>
      <x:c r="C36" s="19" t="str">
        <x:v>Physical repo and implementation mapping</x:v>
      </x:c>
      <x:c r="D36" s="19" t="str">
        <x:v>Repository Map; 0009/0010/0036 mapping</x:v>
      </x:c>
      <x:c r="E36" s="19" t="str">
        <x:v>OPEN</x:v>
      </x:c>
      <x:c r="F36" s="19" t="str">
        <x:v>Do not infer paths/classes</x:v>
      </x:c>
      <x:c r="G36" s="1"/>
      <x:c r="H36" s="1"/>
    </x:row>
    <x:row r="37" ht="44" customHeight="1">
      <x:c r="A37" s="19" t="n">
        <x:v>2</x:v>
      </x:c>
      <x:c r="B37" s="19" t="str">
        <x:v>SER-005</x:v>
      </x:c>
      <x:c r="C37" s="19" t="str">
        <x:v>Real Skill identities and loaders</x:v>
      </x:c>
      <x:c r="D37" s="19" t="str">
        <x:v>AGENTS/BOOTSTRAP Skill selection</x:v>
      </x:c>
      <x:c r="E37" s="19" t="str">
        <x:v>OPEN</x:v>
      </x:c>
      <x:c r="F37" s="19" t="str">
        <x:v>Candidates remain PROPOSAL</x:v>
      </x:c>
      <x:c r="G37" s="1"/>
      <x:c r="H37" s="1"/>
    </x:row>
    <x:row r="38" ht="44" customHeight="1">
      <x:c r="A38" s="19" t="n">
        <x:v>3</x:v>
      </x:c>
      <x:c r="B38" s="19" t="str">
        <x:v>SER-004</x:v>
      </x:c>
      <x:c r="C38" s="19" t="str">
        <x:v>Real Tool identities/schemas/policy</x:v>
      </x:c>
      <x:c r="D38" s="19" t="str">
        <x:v>Allowed tools and contract mapping</x:v>
      </x:c>
      <x:c r="E38" s="19" t="str">
        <x:v>OPEN</x:v>
      </x:c>
      <x:c r="F38" s="19" t="str">
        <x:v>No exact catalog invented</x:v>
      </x:c>
      <x:c r="G38" s="1"/>
      <x:c r="H38" s="1"/>
    </x:row>
    <x:row r="39" ht="44" customHeight="1">
      <x:c r="A39" s="19" t="n">
        <x:v>4</x:v>
      </x:c>
      <x:c r="B39" s="19" t="str">
        <x:v>SER-009</x:v>
      </x:c>
      <x:c r="C39" s="19" t="str">
        <x:v>Devin/Desktop bootstrap capability</x:v>
      </x:c>
      <x:c r="D39" s="19" t="str">
        <x:v>Actual handoff/activation mechanism</x:v>
      </x:c>
      <x:c r="E39" s="19" t="str">
        <x:v>OPEN</x:v>
      </x:c>
      <x:c r="F39" s="19" t="str">
        <x:v>Skeleton is not integration</x:v>
      </x:c>
      <x:c r="G39" s="1"/>
      <x:c r="H39" s="1"/>
    </x:row>
    <x:row r="40" ht="44" customHeight="1">
      <x:c r="A40" s="19" t="n">
        <x:v>5</x:v>
      </x:c>
      <x:c r="B40" s="19" t="str">
        <x:v>SER-006</x:v>
      </x:c>
      <x:c r="C40" s="19" t="str">
        <x:v>Java 21 build/test evidence</x:v>
      </x:c>
      <x:c r="D40" s="19" t="str">
        <x:v>Verified runtime and test status</x:v>
      </x:c>
      <x:c r="E40" s="19" t="str">
        <x:v>OPEN</x:v>
      </x:c>
      <x:c r="F40" s="19" t="str">
        <x:v>No status elevation without receipt</x:v>
      </x:c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5" t="str">
        <x:v>Explicitly deferred</x:v>
      </x:c>
      <x:c r="B42" s="5" t="str">
        <x:v>State</x:v>
      </x:c>
      <x:c r="C42" s="5" t="str">
        <x:v>Source condition</x:v>
      </x:c>
      <x:c r="D42" s="5" t="str">
        <x:v>Changed in 3B</x:v>
      </x:c>
      <x:c r="E42" s="5" t="str">
        <x:v>Reason</x:v>
      </x:c>
      <x:c r="F42" s="5" t="str">
        <x:v>Next gate</x:v>
      </x:c>
      <x:c r="G42" s="1"/>
      <x:c r="H42" s="1"/>
    </x:row>
    <x:row r="43" ht="44" customHeight="1">
      <x:c r="A43" s="19" t="str">
        <x:v>Planning/Sprint complete</x:v>
      </x:c>
      <x:c r="B43" s="19" t="str">
        <x:v>DISCOVERED</x:v>
      </x:c>
      <x:c r="C43" s="19" t="str">
        <x:v>SER-010</x:v>
      </x:c>
      <x:c r="D43" s="19" t="str">
        <x:v>NO</x:v>
      </x:c>
      <x:c r="E43" s="19" t="str">
        <x:v>Historic model absent</x:v>
      </x:c>
      <x:c r="F43" s="19" t="str">
        <x:v>Reconcile source before formalization</x:v>
      </x:c>
      <x:c r="G43" s="1"/>
      <x:c r="H43" s="1"/>
    </x:row>
    <x:row r="44" ht="44" customHeight="1">
      <x:c r="A44" s="19" t="str">
        <x:v>Graph ADR</x:v>
      </x:c>
      <x:c r="B44" s="19" t="str">
        <x:v>NOT_READY</x:v>
      </x:c>
      <x:c r="C44" s="19" t="str">
        <x:v>SER-008</x:v>
      </x:c>
      <x:c r="D44" s="19" t="str">
        <x:v>NO</x:v>
      </x:c>
      <x:c r="E44" s="19" t="str">
        <x:v>Evolution/drift unresolved</x:v>
      </x:c>
      <x:c r="F44" s="19" t="str">
        <x:v>Corpus + code + benchmark</x:v>
      </x:c>
      <x:c r="G44" s="1"/>
      <x:c r="H44" s="1"/>
    </x:row>
    <x:row r="45" ht="44" customHeight="1">
      <x:c r="A45" s="19" t="str">
        <x:v>Exact Tool/Skill catalog</x:v>
      </x:c>
      <x:c r="B45" s="19" t="str">
        <x:v>BLOCKED</x:v>
      </x:c>
      <x:c r="C45" s="19" t="str">
        <x:v>SER-002/004/005</x:v>
      </x:c>
      <x:c r="D45" s="19" t="str">
        <x:v>NO</x:v>
      </x:c>
      <x:c r="E45" s="19" t="str">
        <x:v>Reported counts are not catalogs</x:v>
      </x:c>
      <x:c r="F45" s="19" t="str">
        <x:v>Repo inventory</x:v>
      </x:c>
      <x:c r="G45" s="1"/>
      <x:c r="H45" s="1"/>
    </x:row>
    <x:row r="46" ht="44" customHeight="1">
      <x:c r="A46" s="19" t="str">
        <x:v>Definitive MCP/Event contract</x:v>
      </x:c>
      <x:c r="B46" s="19" t="str">
        <x:v>BLOCKED</x:v>
      </x:c>
      <x:c r="C46" s="19" t="str">
        <x:v>SER-002/004</x:v>
      </x:c>
      <x:c r="D46" s="19" t="str">
        <x:v>NO</x:v>
      </x:c>
      <x:c r="E46" s="19" t="str">
        <x:v>Only lifecycle envelope provisional</x:v>
      </x:c>
      <x:c r="F46" s="19" t="str">
        <x:v>Runtime/API inventory</x:v>
      </x:c>
      <x:c r="G46" s="1"/>
      <x:c r="H46" s="1"/>
    </x:row>
    <x:row r="47" ht="44" customHeight="1">
      <x:c r="A47" s="19" t="str">
        <x:v>Storage/OpenShift</x:v>
      </x:c>
      <x:c r="B47" s="19" t="str">
        <x:v>DEFERRED</x:v>
      </x:c>
      <x:c r="C47" s="19" t="str">
        <x:v>SER-002 + later gates</x:v>
      </x:c>
      <x:c r="D47" s="19" t="str">
        <x:v>NO</x:v>
      </x:c>
      <x:c r="E47" s="19" t="str">
        <x:v>Outside 3B</x:v>
      </x:c>
      <x:c r="F47" s="19" t="str">
        <x:v>Separate evidence-backed block</x:v>
      </x:c>
      <x:c r="G47" s="1"/>
      <x:c r="H47" s="1"/>
    </x:row>
    <x:row r="48" ht="44" customHeight="1">
      <x:c r="A48" s="19" t="str">
        <x:v>Bank policies</x:v>
      </x:c>
      <x:c r="B48" s="19" t="str">
        <x:v>BLOCKED</x:v>
      </x:c>
      <x:c r="C48" s="19" t="str">
        <x:v>SER-007</x:v>
      </x:c>
      <x:c r="D48" s="19" t="str">
        <x:v>NO</x:v>
      </x:c>
      <x:c r="E48" s="19" t="str">
        <x:v>Conversation is not corporate authority</x:v>
      </x:c>
      <x:c r="F48" s="19" t="str">
        <x:v>Governed sources</x:v>
      </x:c>
      <x:c r="G48" s="1"/>
      <x:c r="H48" s="1"/>
    </x:row>
    <x:row r="49" ht="44" customHeight="1">
      <x:c r="A49" s="19" t="str">
        <x:v>New Devin prompt</x:v>
      </x:c>
      <x:c r="B49" s="19" t="str">
        <x:v>UNRESOLVED</x:v>
      </x:c>
      <x:c r="C49" s="19" t="str">
        <x:v>SER-012</x:v>
      </x:c>
      <x:c r="D49" s="19" t="str">
        <x:v>NO</x:v>
      </x:c>
      <x:c r="E49" s="19" t="str">
        <x:v>Sequence not proven</x:v>
      </x:c>
      <x:c r="F49" s="19" t="str">
        <x:v>Real run export</x:v>
      </x:c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42" t="str">
        <x:v>Next automatic safe block: cross-contract consistency and source-ready mapping templates for 0004–0010. Apply SER-002/005/004/009/006 as deltas when observable. Do not implement, finalize 0036/0037/Graph/MCP/Storage/OpenShift/bank policy, or create a Devin prompt.</x:v>
      </x:c>
      <x:c r="B51" s="42"/>
      <x:c r="C51" s="42"/>
      <x:c r="D51" s="42"/>
      <x:c r="E51" s="42"/>
      <x:c r="F51" s="42"/>
      <x:c r="G51" s="42"/>
      <x:c r="H51" s="42"/>
    </x:row>
    <x:row r="52">
      <x:c r="A52" s="42"/>
      <x:c r="B52" s="42"/>
      <x:c r="C52" s="42"/>
      <x:c r="D52" s="42"/>
      <x:c r="E52" s="42"/>
      <x:c r="F52" s="42"/>
      <x:c r="G52" s="42"/>
      <x:c r="H52" s="42"/>
    </x:row>
  </x:sheetData>
  <x:mergeCells>
    <x:mergeCell ref="A1:H2"/>
    <x:mergeCell ref="A51:H5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7" hidden="0" customWidth="1"/>
    <x:col min="3" max="3" width="37" hidden="0" customWidth="1"/>
    <x:col min="4" max="4" width="37" hidden="0" customWidth="1"/>
    <x:col min="5" max="5" width="37" hidden="0" customWidth="1"/>
    <x:col min="6" max="6" width="37" hidden="0" customWidth="1"/>
  </x:cols>
  <x:sheetData>
    <x:row r="1">
      <x:c r="A1" s="123" t="str">
        <x:v>HAPPY — Oleada 3C | Seed V1 / Architectural DNA / Autonomous Expansion | DRAFT</x:v>
      </x:c>
      <x:c r="B1" s="123"/>
      <x:c r="C1" s="123"/>
      <x:c r="D1" s="123"/>
      <x:c r="E1" s="123"/>
      <x:c r="F1" s="123"/>
      <x:c r="G1" s="123"/>
      <x:c r="H1" s="123"/>
    </x:row>
    <x:row r="2">
      <x:c r="A2" s="123"/>
      <x:c r="B2" s="123"/>
      <x:c r="C2" s="123"/>
      <x:c r="D2" s="123"/>
      <x:c r="E2" s="123"/>
      <x:c r="F2" s="123"/>
      <x:c r="G2" s="123"/>
      <x:c r="H2" s="123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5" t="str">
        <x:v>Control</x:v>
      </x:c>
      <x:c r="B4" s="5" t="str">
        <x:v>State</x:v>
      </x:c>
      <x:c r="C4" s="1"/>
      <x:c r="D4" s="1"/>
      <x:c r="E4" s="1"/>
      <x:c r="F4" s="1"/>
      <x:c r="G4" s="1"/>
      <x:c r="H4" s="1"/>
    </x:row>
    <x:row r="5">
      <x:c r="A5" s="116" t="str">
        <x:v>Seed V1 model</x:v>
      </x:c>
      <x:c r="B5" s="38" t="str">
        <x:v>ESTABLISHED_DRAFT</x:v>
      </x:c>
      <x:c r="C5" s="1"/>
      <x:c r="D5" s="1"/>
      <x:c r="E5" s="1"/>
      <x:c r="F5" s="1"/>
      <x:c r="G5" s="1"/>
      <x:c r="H5" s="1"/>
    </x:row>
    <x:row r="6">
      <x:c r="A6" s="116" t="str">
        <x:v>Global delivery</x:v>
      </x:c>
      <x:c r="B6" s="38" t="str">
        <x:v>PREPARED_NOT_DELIVERED</x:v>
      </x:c>
      <x:c r="C6" s="1"/>
      <x:c r="D6" s="1"/>
      <x:c r="E6" s="1"/>
      <x:c r="F6" s="1"/>
      <x:c r="G6" s="1"/>
      <x:c r="H6" s="1"/>
    </x:row>
    <x:row r="7">
      <x:c r="A7" s="116" t="str">
        <x:v>HAPPY_HANDOFF_READY</x:v>
      </x:c>
      <x:c r="B7" s="38" t="str">
        <x:v>FALSE</x:v>
      </x:c>
      <x:c r="C7" s="1"/>
      <x:c r="D7" s="1"/>
      <x:c r="E7" s="1"/>
      <x:c r="F7" s="1"/>
      <x:c r="G7" s="1"/>
      <x:c r="H7" s="1"/>
    </x:row>
    <x:row r="8">
      <x:c r="A8" s="116" t="str">
        <x:v>Formal AAI Specs</x:v>
      </x:c>
      <x:c r="B8" s="38" t="str">
        <x:v>10; no new ID</x:v>
      </x:c>
      <x:c r="C8" s="1"/>
      <x:c r="D8" s="1"/>
      <x:c r="E8" s="1"/>
      <x:c r="F8" s="1"/>
      <x:c r="G8" s="1"/>
      <x:c r="H8" s="1"/>
    </x:row>
    <x:row r="9">
      <x:c r="A9" s="116" t="str">
        <x:v>AAI-SPEC-0009</x:v>
      </x:c>
      <x:c r="B9" s="38" t="str">
        <x:v>v0.2.0-draft / Work &amp; Session Metamodel</x:v>
      </x:c>
      <x:c r="C9" s="1"/>
      <x:c r="D9" s="1"/>
      <x:c r="E9" s="1"/>
      <x:c r="F9" s="1"/>
      <x:c r="G9" s="1"/>
      <x:c r="H9" s="1"/>
    </x:row>
    <x:row r="10">
      <x:c r="A10" s="116" t="str">
        <x:v>Capabilities</x:v>
      </x:c>
      <x:c r="B10" s="38" t="str">
        <x:v>23 candidates / not Specs</x:v>
      </x:c>
      <x:c r="C10" s="1"/>
      <x:c r="D10" s="1"/>
      <x:c r="E10" s="1"/>
      <x:c r="F10" s="1"/>
      <x:c r="G10" s="1"/>
      <x:c r="H10" s="1"/>
    </x:row>
    <x:row r="11">
      <x:c r="A11" s="116" t="str">
        <x:v>Quality gates</x:v>
      </x:c>
      <x:c r="B11" s="38" t="str">
        <x:v>G1..G11 blocking; incomplete</x:v>
      </x:c>
      <x:c r="C11" s="1"/>
      <x:c r="D11" s="1"/>
      <x:c r="E11" s="1"/>
      <x:c r="F11" s="1"/>
      <x:c r="G11" s="1"/>
      <x:c r="H11" s="1"/>
    </x:row>
    <x:row r="12">
      <x:c r="A12" s="116" t="str">
        <x:v>Staging sync</x:v>
      </x:c>
      <x:c r="B12" s="38" t="str">
        <x:v>NOT_ATTEMPTED / SER-013</x:v>
      </x:c>
      <x:c r="C12" s="1"/>
      <x:c r="D12" s="1"/>
      <x:c r="E12" s="1"/>
      <x:c r="F12" s="1"/>
      <x:c r="G12" s="1"/>
      <x:c r="H12" s="1"/>
    </x:row>
    <x:row r="13">
      <x:c r="A13" s="116" t="str">
        <x:v>New Devin prompt</x:v>
      </x:c>
      <x:c r="B13" s="38" t="str">
        <x:v>NONE</x:v>
      </x:c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5" t="str">
        <x:v>Seed element</x:v>
      </x:c>
      <x:c r="B15" s="5" t="str">
        <x:v>State</x:v>
      </x:c>
      <x:c r="C15" s="5" t="str">
        <x:v>Primary artifact</x:v>
      </x:c>
      <x:c r="D15" s="5" t="str">
        <x:v>Evidence class</x:v>
      </x:c>
      <x:c r="E15" s="5" t="str">
        <x:v>Blocking condition</x:v>
      </x:c>
      <x:c r="F15" s="5" t="str">
        <x:v>Post-handoff role</x:v>
      </x:c>
      <x:c r="G15" s="1"/>
      <x:c r="H15" s="1"/>
    </x:row>
    <x:row r="16" ht="44" customHeight="1">
      <x:c r="A16" s="19" t="str">
        <x:v>Identity / North Star</x:v>
      </x:c>
      <x:c r="B16" s="19" t="str">
        <x:v>PASS_DOCUMENTARY</x:v>
      </x:c>
      <x:c r="C16" s="19" t="str">
        <x:v>55</x:v>
      </x:c>
      <x:c r="D16" s="19" t="str">
        <x:v>CANONICAL/DERIVED</x:v>
      </x:c>
      <x:c r="E16" s="19" t="str">
        <x:v>Final receipt</x:v>
      </x:c>
      <x:c r="F16" s="19" t="str">
        <x:v>Orient</x:v>
      </x:c>
      <x:c r="G16" s="1"/>
      <x:c r="H16" s="1"/>
    </x:row>
    <x:row r="17" ht="44" customHeight="1">
      <x:c r="A17" s="19" t="str">
        <x:v>Architectural DNA</x:v>
      </x:c>
      <x:c r="B17" s="19" t="str">
        <x:v>PARTIAL_HIGH</x:v>
      </x:c>
      <x:c r="C17" s="19" t="str">
        <x:v>55/63</x:v>
      </x:c>
      <x:c r="D17" s="19" t="str">
        <x:v>CANONICAL/DERIVED/PROPOSAL</x:v>
      </x:c>
      <x:c r="E17" s="19" t="str">
        <x:v>SER-001/011/012</x:v>
      </x:c>
      <x:c r="F17" s="19" t="str">
        <x:v>Constrain expansion</x:v>
      </x:c>
      <x:c r="G17" s="1"/>
      <x:c r="H17" s="1"/>
    </x:row>
    <x:row r="18" ht="44" customHeight="1">
      <x:c r="A18" s="19" t="str">
        <x:v>Capability Map</x:v>
      </x:c>
      <x:c r="B18" s="19" t="str">
        <x:v>ESTABLISHED_DRAFT</x:v>
      </x:c>
      <x:c r="C18" s="19" t="str">
        <x:v>54</x:v>
      </x:c>
      <x:c r="D18" s="19" t="str">
        <x:v>DERIVED</x:v>
      </x:c>
      <x:c r="E18" s="19" t="str">
        <x:v>Real-state reconciliation</x:v>
      </x:c>
      <x:c r="F18" s="19" t="str">
        <x:v>Plan dependencies</x:v>
      </x:c>
      <x:c r="G18" s="1"/>
      <x:c r="H18" s="1"/>
    </x:row>
    <x:row r="19" ht="44" customHeight="1">
      <x:c r="A19" s="19" t="str">
        <x:v>Initial Knowledge Model</x:v>
      </x:c>
      <x:c r="B19" s="19" t="str">
        <x:v>ESTABLISHED_DRAFT</x:v>
      </x:c>
      <x:c r="C19" s="19" t="str">
        <x:v>56</x:v>
      </x:c>
      <x:c r="D19" s="19" t="str">
        <x:v>DERIVED</x:v>
      </x:c>
      <x:c r="E19" s="19" t="str">
        <x:v>Model-use evidence</x:v>
      </x:c>
      <x:c r="F19" s="19" t="str">
        <x:v>Organize and evolve</x:v>
      </x:c>
      <x:c r="G19" s="1"/>
      <x:c r="H19" s="1"/>
    </x:row>
    <x:row r="20" ht="44" customHeight="1">
      <x:c r="A20" s="19" t="str">
        <x:v>Operating/Expansion Model</x:v>
      </x:c>
      <x:c r="B20" s="19" t="str">
        <x:v>PASS_DOCUMENTARY</x:v>
      </x:c>
      <x:c r="C20" s="19" t="str">
        <x:v>58</x:v>
      </x:c>
      <x:c r="D20" s="19" t="str">
        <x:v>CANONICAL/DERIVED</x:v>
      </x:c>
      <x:c r="E20" s="19" t="str">
        <x:v>Execution proof</x:v>
      </x:c>
      <x:c r="F20" s="19" t="str">
        <x:v>Drive work</x:v>
      </x:c>
      <x:c r="G20" s="1"/>
      <x:c r="H20" s="1"/>
    </x:row>
    <x:row r="21" ht="44" customHeight="1">
      <x:c r="A21" s="19" t="str">
        <x:v>Cutover/Transport</x:v>
      </x:c>
      <x:c r="B21" s="19" t="str">
        <x:v>DESIGNED</x:v>
      </x:c>
      <x:c r="C21" s="19" t="str">
        <x:v>60</x:v>
      </x:c>
      <x:c r="D21" s="19" t="str">
        <x:v>CANONICAL/DERIVED</x:v>
      </x:c>
      <x:c r="E21" s="19" t="str">
        <x:v>SER-013 / final target</x:v>
      </x:c>
      <x:c r="F21" s="19" t="str">
        <x:v>Bootstrap delivery</x:v>
      </x:c>
      <x:c r="G21" s="1"/>
      <x:c r="H21" s="1"/>
    </x:row>
    <x:row r="22" ht="44" customHeight="1">
      <x:c r="A22" s="19" t="str">
        <x:v>Readiness/Acceptance</x:v>
      </x:c>
      <x:c r="B22" s="19" t="str">
        <x:v>NOT_READY</x:v>
      </x:c>
      <x:c r="C22" s="19" t="str">
        <x:v>61</x:v>
      </x:c>
      <x:c r="D22" s="19" t="str">
        <x:v>CANONICAL</x:v>
      </x:c>
      <x:c r="E22" s="19" t="str">
        <x:v>G3/G4/G5/G9/G10/G11</x:v>
      </x:c>
      <x:c r="F22" s="19" t="str">
        <x:v>Prove autonomy</x:v>
      </x:c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5" t="str">
        <x:v>Gate</x:v>
      </x:c>
      <x:c r="B24" s="5" t="str">
        <x:v>State</x:v>
      </x:c>
      <x:c r="C24" s="5" t="str">
        <x:v>Evidence</x:v>
      </x:c>
      <x:c r="D24" s="5" t="str">
        <x:v>Blocker</x:v>
      </x:c>
      <x:c r="E24" s="5" t="str">
        <x:v>Effect</x:v>
      </x:c>
      <x:c r="F24" s="1"/>
      <x:c r="G24" s="1"/>
      <x:c r="H24" s="1"/>
    </x:row>
    <x:row r="25" ht="44" customHeight="1">
      <x:c r="A25" s="19" t="str">
        <x:v>G1</x:v>
      </x:c>
      <x:c r="B25" s="19" t="str">
        <x:v>PASS_DOCUMENTARY</x:v>
      </x:c>
      <x:c r="C25" s="19" t="str">
        <x:v>00/55</x:v>
      </x:c>
      <x:c r="D25" s="19" t="str">
        <x:v>Final receipt</x:v>
      </x:c>
      <x:c r="E25" s="19" t="str">
        <x:v>blocking until PASS</x:v>
      </x:c>
      <x:c r="F25" s="1"/>
      <x:c r="G25" s="1"/>
      <x:c r="H25" s="1"/>
    </x:row>
    <x:row r="26" ht="44" customHeight="1">
      <x:c r="A26" s="19" t="str">
        <x:v>G2</x:v>
      </x:c>
      <x:c r="B26" s="19" t="str">
        <x:v>PARTIAL_HIGH</x:v>
      </x:c>
      <x:c r="C26" s="19" t="str">
        <x:v>52–56/63</x:v>
      </x:c>
      <x:c r="D26" s="19" t="str">
        <x:v>SER-001/011/012</x:v>
      </x:c>
      <x:c r="E26" s="19" t="str">
        <x:v>blocking</x:v>
      </x:c>
      <x:c r="F26" s="1"/>
      <x:c r="G26" s="1"/>
      <x:c r="H26" s="1"/>
    </x:row>
    <x:row r="27" ht="44" customHeight="1">
      <x:c r="A27" s="19" t="str">
        <x:v>G3</x:v>
      </x:c>
      <x:c r="B27" s="19" t="str">
        <x:v>NOT_EXECUTED</x:v>
      </x:c>
      <x:c r="C27" s="19" t="str">
        <x:v>bootstrap skeletons</x:v>
      </x:c>
      <x:c r="D27" s="19" t="str">
        <x:v>SER-002/004/005/009</x:v>
      </x:c>
      <x:c r="E27" s="19" t="str">
        <x:v>blocking</x:v>
      </x:c>
      <x:c r="F27" s="1"/>
      <x:c r="G27" s="1"/>
      <x:c r="H27" s="1"/>
    </x:row>
    <x:row r="28" ht="44" customHeight="1">
      <x:c r="A28" s="19" t="str">
        <x:v>G4</x:v>
      </x:c>
      <x:c r="B28" s="19" t="str">
        <x:v>BLOCKED_BY_SOURCE</x:v>
      </x:c>
      <x:c r="C28" s="19" t="str">
        <x:v>26/27</x:v>
      </x:c>
      <x:c r="D28" s="19" t="str">
        <x:v>SER-002/003/006</x:v>
      </x:c>
      <x:c r="E28" s="19" t="str">
        <x:v>blocking</x:v>
      </x:c>
      <x:c r="F28" s="1"/>
      <x:c r="G28" s="1"/>
      <x:c r="H28" s="1"/>
    </x:row>
    <x:row r="29" ht="44" customHeight="1">
      <x:c r="A29" s="19" t="str">
        <x:v>G5</x:v>
      </x:c>
      <x:c r="B29" s="19" t="str">
        <x:v>PARTIAL_DESIGN</x:v>
      </x:c>
      <x:c r="C29" s="19" t="str">
        <x:v>57/58</x:v>
      </x:c>
      <x:c r="D29" s="19" t="str">
        <x:v>SER-010/runtime</x:v>
      </x:c>
      <x:c r="E29" s="19" t="str">
        <x:v>blocking</x:v>
      </x:c>
      <x:c r="F29" s="1"/>
      <x:c r="G29" s="1"/>
      <x:c r="H29" s="1"/>
    </x:row>
    <x:row r="30" ht="44" customHeight="1">
      <x:c r="A30" s="19" t="str">
        <x:v>G6</x:v>
      </x:c>
      <x:c r="B30" s="19" t="str">
        <x:v>PASS_DOCUMENTARY</x:v>
      </x:c>
      <x:c r="C30" s="19" t="str">
        <x:v>53/58</x:v>
      </x:c>
      <x:c r="D30" s="19" t="str">
        <x:v>execution proof later</x:v>
      </x:c>
      <x:c r="E30" s="19" t="str">
        <x:v>blocking until PASS</x:v>
      </x:c>
      <x:c r="F30" s="1"/>
      <x:c r="G30" s="1"/>
      <x:c r="H30" s="1"/>
    </x:row>
    <x:row r="31" ht="44" customHeight="1">
      <x:c r="A31" s="19" t="str">
        <x:v>G7</x:v>
      </x:c>
      <x:c r="B31" s="19" t="str">
        <x:v>PASS_DOCUMENTARY</x:v>
      </x:c>
      <x:c r="C31" s="19" t="str">
        <x:v>0009/0010/58</x:v>
      </x:c>
      <x:c r="D31" s="19" t="str">
        <x:v>authority/runtime</x:v>
      </x:c>
      <x:c r="E31" s="19" t="str">
        <x:v>blocking until PASS</x:v>
      </x:c>
      <x:c r="F31" s="1"/>
      <x:c r="G31" s="1"/>
      <x:c r="H31" s="1"/>
    </x:row>
    <x:row r="32" ht="44" customHeight="1">
      <x:c r="A32" s="19" t="str">
        <x:v>G8</x:v>
      </x:c>
      <x:c r="B32" s="19" t="str">
        <x:v>PASS_DOCUMENTARY</x:v>
      </x:c>
      <x:c r="C32" s="19" t="str">
        <x:v>schemas/traceability</x:v>
      </x:c>
      <x:c r="D32" s="19" t="str">
        <x:v>runtime enforcement</x:v>
      </x:c>
      <x:c r="E32" s="19" t="str">
        <x:v>blocking until PASS</x:v>
      </x:c>
      <x:c r="F32" s="1"/>
      <x:c r="G32" s="1"/>
      <x:c r="H32" s="1"/>
    </x:row>
    <x:row r="33" ht="44" customHeight="1">
      <x:c r="A33" s="19" t="str">
        <x:v>G9</x:v>
      </x:c>
      <x:c r="B33" s="19" t="str">
        <x:v>PARTIAL_HIGH</x:v>
      </x:c>
      <x:c r="C33" s="19" t="str">
        <x:v>56/63</x:v>
      </x:c>
      <x:c r="D33" s="19" t="str">
        <x:v>applicability execution</x:v>
      </x:c>
      <x:c r="E33" s="19" t="str">
        <x:v>blocking</x:v>
      </x:c>
      <x:c r="F33" s="1"/>
      <x:c r="G33" s="1"/>
      <x:c r="H33" s="1"/>
    </x:row>
    <x:row r="34" ht="44" customHeight="1">
      <x:c r="A34" s="19" t="str">
        <x:v>G10</x:v>
      </x:c>
      <x:c r="B34" s="19" t="str">
        <x:v>NOT_EXECUTED</x:v>
      </x:c>
      <x:c r="C34" s="19" t="str">
        <x:v>57/61</x:v>
      </x:c>
      <x:c r="D34" s="19" t="str">
        <x:v>repo/runtime/bootstrap</x:v>
      </x:c>
      <x:c r="E34" s="19" t="str">
        <x:v>blocking</x:v>
      </x:c>
      <x:c r="F34" s="1"/>
      <x:c r="G34" s="1"/>
      <x:c r="H34" s="1"/>
    </x:row>
    <x:row r="35" ht="44" customHeight="1">
      <x:c r="A35" s="19" t="str">
        <x:v>G11</x:v>
      </x:c>
      <x:c r="B35" s="19" t="str">
        <x:v>PARTIAL_LOCAL</x:v>
      </x:c>
      <x:c r="C35" s="19" t="str">
        <x:v>64/65/package</x:v>
      </x:c>
      <x:c r="D35" s="19" t="str">
        <x:v>final root/staging receipt</x:v>
      </x:c>
      <x:c r="E35" s="19" t="str">
        <x:v>blocking</x:v>
      </x:c>
      <x:c r="F35" s="1"/>
      <x:c r="G35" s="1"/>
      <x:c r="H35" s="1"/>
    </x:row>
    <x:row r="36" ht="44" customHeight="1">
      <x:c r="A36" s="19" t="str">
        <x:v>G12</x:v>
      </x:c>
      <x:c r="B36" s="19" t="str">
        <x:v>PASS_DOCUMENTARY</x:v>
      </x:c>
      <x:c r="C36" s="19" t="str">
        <x:v>31/32/43/62</x:v>
      </x:c>
      <x:c r="D36" s="19" t="str">
        <x:v>unknowns explicit</x:v>
      </x:c>
      <x:c r="E36" s="19" t="str">
        <x:v>nonblocking if explicit</x:v>
      </x:c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5" t="str">
        <x:v>Priority lane</x:v>
      </x:c>
      <x:c r="B38" s="5" t="str">
        <x:v>SER</x:v>
      </x:c>
      <x:c r="C38" s="5" t="str">
        <x:v>Unblocks</x:v>
      </x:c>
      <x:c r="D38" s="5" t="str">
        <x:v>Current action</x:v>
      </x:c>
      <x:c r="E38" s="5" t="str">
        <x:v>Forbidden inference</x:v>
      </x:c>
      <x:c r="F38" s="5" t="str">
        <x:v>State</x:v>
      </x:c>
      <x:c r="G38" s="1"/>
      <x:c r="H38" s="1"/>
    </x:row>
    <x:row r="39" ht="44" customHeight="1">
      <x:c r="A39" s="19" t="n">
        <x:v>1</x:v>
      </x:c>
      <x:c r="B39" s="19" t="str">
        <x:v>SER-002</x:v>
      </x:c>
      <x:c r="C39" s="19" t="str">
        <x:v>G3/G4/root map</x:v>
      </x:c>
      <x:c r="D39" s="19" t="str">
        <x:v>request repo snapshot</x:v>
      </x:c>
      <x:c r="E39" s="19" t="str">
        <x:v>paths/code mapping</x:v>
      </x:c>
      <x:c r="F39" s="19" t="str">
        <x:v>OPEN</x:v>
      </x:c>
      <x:c r="G39" s="1"/>
      <x:c r="H39" s="1"/>
    </x:row>
    <x:row r="40" ht="44" customHeight="1">
      <x:c r="A40" s="19" t="n">
        <x:v>2</x:v>
      </x:c>
      <x:c r="B40" s="19" t="str">
        <x:v>SER-009</x:v>
      </x:c>
      <x:c r="C40" s="19" t="str">
        <x:v>G3/G10</x:v>
      </x:c>
      <x:c r="D40" s="19" t="str">
        <x:v>confirm Devin bootstrap behavior</x:v>
      </x:c>
      <x:c r="E40" s="19" t="str">
        <x:v>loader/precedence</x:v>
      </x:c>
      <x:c r="F40" s="19" t="str">
        <x:v>OPEN</x:v>
      </x:c>
      <x:c r="G40" s="1"/>
      <x:c r="H40" s="1"/>
    </x:row>
    <x:row r="41" ht="44" customHeight="1">
      <x:c r="A41" s="19" t="n">
        <x:v>3</x:v>
      </x:c>
      <x:c r="B41" s="19" t="str">
        <x:v>SER-004/005</x:v>
      </x:c>
      <x:c r="C41" s="19" t="str">
        <x:v>G3/G5</x:v>
      </x:c>
      <x:c r="D41" s="19" t="str">
        <x:v>recover exact Tools/Skills</x:v>
      </x:c>
      <x:c r="E41" s="19" t="str">
        <x:v>reported count=catalog</x:v>
      </x:c>
      <x:c r="F41" s="19" t="str">
        <x:v>OPEN</x:v>
      </x:c>
      <x:c r="G41" s="1"/>
      <x:c r="H41" s="1"/>
    </x:row>
    <x:row r="42" ht="44" customHeight="1">
      <x:c r="A42" s="19" t="n">
        <x:v>4</x:v>
      </x:c>
      <x:c r="B42" s="19" t="str">
        <x:v>SER-003/006</x:v>
      </x:c>
      <x:c r="C42" s="19" t="str">
        <x:v>G4/verification</x:v>
      </x:c>
      <x:c r="D42" s="19" t="str">
        <x:v>recover baseline and Java tests</x:v>
      </x:c>
      <x:c r="E42" s="19" t="str">
        <x:v>reported=verified</x:v>
      </x:c>
      <x:c r="F42" s="19" t="str">
        <x:v>OPEN</x:v>
      </x:c>
      <x:c r="G42" s="1"/>
      <x:c r="H42" s="1"/>
    </x:row>
    <x:row r="43" ht="44" customHeight="1">
      <x:c r="A43" s="19" t="n">
        <x:v>5</x:v>
      </x:c>
      <x:c r="B43" s="19" t="str">
        <x:v>SER-010</x:v>
      </x:c>
      <x:c r="C43" s="19" t="str">
        <x:v>G5</x:v>
      </x:c>
      <x:c r="D43" s="19" t="str">
        <x:v>recover Planning/Sprint</x:v>
      </x:c>
      <x:c r="E43" s="19" t="str">
        <x:v>invent weights/backlog</x:v>
      </x:c>
      <x:c r="F43" s="19" t="str">
        <x:v>OPEN</x:v>
      </x:c>
      <x:c r="G43" s="1"/>
      <x:c r="H43" s="1"/>
    </x:row>
    <x:row r="44" ht="44" customHeight="1">
      <x:c r="A44" s="19" t="n">
        <x:v>6</x:v>
      </x:c>
      <x:c r="B44" s="19" t="str">
        <x:v>SER-012</x:v>
      </x:c>
      <x:c r="C44" s="19" t="str">
        <x:v>No-Loss provenance</x:v>
      </x:c>
      <x:c r="D44" s="19" t="str">
        <x:v>recover real run sequence</x:v>
      </x:c>
      <x:c r="E44" s="19" t="str">
        <x:v>number new prompt</x:v>
      </x:c>
      <x:c r="F44" s="19" t="str">
        <x:v>OPEN</x:v>
      </x:c>
      <x:c r="G44" s="1"/>
      <x:c r="H44" s="1"/>
    </x:row>
    <x:row r="45" ht="44" customHeight="1">
      <x:c r="A45" s="19" t="n">
        <x:v>7</x:v>
      </x:c>
      <x:c r="B45" s="19" t="str">
        <x:v>SER-013</x:v>
      </x:c>
      <x:c r="C45" s="19" t="str">
        <x:v>staging integration</x:v>
      </x:c>
      <x:c r="D45" s="19" t="str">
        <x:v>observe access/commit</x:v>
      </x:c>
      <x:c r="E45" s="19" t="str">
        <x:v>claim sync</x:v>
      </x:c>
      <x:c r="F45" s="19" t="str">
        <x:v>OPEN</x:v>
      </x:c>
      <x:c r="G45" s="1"/>
      <x:c r="H45" s="1"/>
    </x:row>
    <x:row r="46" ht="44" customHeight="1">
      <x:c r="A46" s="19" t="n">
        <x:v>8</x:v>
      </x:c>
      <x:c r="B46" s="19" t="str">
        <x:v>SER-001/011</x:v>
      </x:c>
      <x:c r="C46" s="19" t="str">
        <x:v>G2/standards</x:v>
      </x:c>
      <x:c r="D46" s="19" t="str">
        <x:v>recover chats/adoption</x:v>
      </x:c>
      <x:c r="E46" s="19" t="str">
        <x:v>reference=policy</x:v>
      </x:c>
      <x:c r="F46" s="19" t="str">
        <x:v>OPEN</x:v>
      </x:c>
      <x:c r="G46" s="1"/>
      <x:c r="H46" s="1"/>
    </x:row>
    <x:row r="47" ht="44" customHeight="1">
      <x:c r="A47" s="19" t="n">
        <x:v>9</x:v>
      </x:c>
      <x:c r="B47" s="19" t="str">
        <x:v>SER-007/008</x:v>
      </x:c>
      <x:c r="C47" s="19" t="str">
        <x:v>bank/Graph closure</x:v>
      </x:c>
      <x:c r="D47" s="19" t="str">
        <x:v>recover governed sources</x:v>
      </x:c>
      <x:c r="E47" s="19" t="str">
        <x:v>context=policy/technology=ADR</x:v>
      </x:c>
      <x:c r="F47" s="19" t="str">
        <x:v>OPEN</x:v>
      </x:c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42" t="str">
        <x:v>Recommended next block only (not started): Seed Specification Deduplication, Standards Substitution &amp; Root Assembly. No implementation, no new Devin prompt, no deferred ADR/contract freeze.</x:v>
      </x:c>
      <x:c r="B49" s="42"/>
      <x:c r="C49" s="42"/>
      <x:c r="D49" s="42"/>
      <x:c r="E49" s="42"/>
      <x:c r="F49" s="42"/>
      <x:c r="G49" s="42"/>
      <x:c r="H49" s="42"/>
    </x:row>
    <x:row r="50">
      <x:c r="A50" s="42"/>
      <x:c r="B50" s="42"/>
      <x:c r="C50" s="42"/>
      <x:c r="D50" s="42"/>
      <x:c r="E50" s="42"/>
      <x:c r="F50" s="42"/>
      <x:c r="G50" s="42"/>
      <x:c r="H50" s="42"/>
    </x:row>
  </x:sheetData>
  <x:mergeCells>
    <x:mergeCell ref="A1:H2"/>
    <x:mergeCell ref="A49:H5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4" hidden="0" customWidth="1"/>
    <x:col min="4" max="4" width="46" hidden="0" customWidth="1"/>
    <x:col min="5" max="5" width="40" hidden="0" customWidth="1"/>
    <x:col min="6" max="6" width="42" hidden="0" customWidth="1"/>
    <x:col min="7" max="7" width="16" hidden="0" customWidth="1"/>
    <x:col min="8" max="8" width="16" hidden="0" customWidth="1"/>
  </x:cols>
  <x:sheetData>
    <x:row r="1">
      <x:c r="A1" s="123" t="str">
        <x:v>HAPPY — Oleada 3D | Seed Assembly / Dedup / Standards / Acceptance | DRAFT</x:v>
      </x:c>
      <x:c r="B1" s="123"/>
      <x:c r="C1" s="123"/>
      <x:c r="D1" s="123"/>
      <x:c r="E1" s="123"/>
      <x:c r="F1" s="123"/>
      <x:c r="G1" s="123"/>
      <x:c r="H1" s="123"/>
    </x:row>
    <x:row r="2">
      <x:c r="A2" s="123"/>
      <x:c r="B2" s="123"/>
      <x:c r="C2" s="123"/>
      <x:c r="D2" s="123"/>
      <x:c r="E2" s="123"/>
      <x:c r="F2" s="123"/>
      <x:c r="G2" s="123"/>
      <x:c r="H2" s="123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5" t="str">
        <x:v>Control</x:v>
      </x:c>
      <x:c r="B4" s="5" t="str">
        <x:v>State</x:v>
      </x:c>
      <x:c r="C4" s="1"/>
      <x:c r="D4" s="1"/>
      <x:c r="E4" s="1"/>
      <x:c r="F4" s="1"/>
      <x:c r="G4" s="1"/>
      <x:c r="H4" s="1"/>
    </x:row>
    <x:row r="5">
      <x:c r="A5" s="116" t="str">
        <x:v>Seed version</x:v>
      </x:c>
      <x:c r="B5" s="38" t="str">
        <x:v>0.9.0-assembly.1</x:v>
      </x:c>
      <x:c r="C5" s="1"/>
      <x:c r="D5" s="1"/>
      <x:c r="E5" s="1"/>
      <x:c r="F5" s="1"/>
      <x:c r="G5" s="1"/>
      <x:c r="H5" s="1"/>
    </x:row>
    <x:row r="6">
      <x:c r="A6" s="116" t="str">
        <x:v>Delivery</x:v>
      </x:c>
      <x:c r="B6" s="38" t="str">
        <x:v>PREPARED_NOT_DELIVERED</x:v>
      </x:c>
      <x:c r="C6" s="1"/>
      <x:c r="D6" s="1"/>
      <x:c r="E6" s="1"/>
      <x:c r="F6" s="1"/>
      <x:c r="G6" s="1"/>
      <x:c r="H6" s="1"/>
    </x:row>
    <x:row r="7">
      <x:c r="A7" s="116" t="str">
        <x:v>HAPPY_HANDOFF_READY</x:v>
      </x:c>
      <x:c r="B7" s="38" t="str">
        <x:v>FALSE</x:v>
      </x:c>
      <x:c r="C7" s="1"/>
      <x:c r="D7" s="1"/>
      <x:c r="E7" s="1"/>
      <x:c r="F7" s="1"/>
      <x:c r="G7" s="1"/>
      <x:c r="H7" s="1"/>
    </x:row>
    <x:row r="8">
      <x:c r="A8" s="116" t="str">
        <x:v>Spec baseline build ready</x:v>
      </x:c>
      <x:c r="B8" s="38" t="str">
        <x:v>FALSE</x:v>
      </x:c>
      <x:c r="C8" s="1"/>
      <x:c r="D8" s="1"/>
      <x:c r="E8" s="1"/>
      <x:c r="F8" s="1"/>
      <x:c r="G8" s="1"/>
      <x:c r="H8" s="1"/>
    </x:row>
    <x:row r="9">
      <x:c r="A9" s="116" t="str">
        <x:v>Formal Specs</x:v>
      </x:c>
      <x:c r="B9" s="38" t="str">
        <x:v>10</x:v>
      </x:c>
      <x:c r="C9" s="1"/>
      <x:c r="D9" s="1"/>
      <x:c r="E9" s="1"/>
      <x:c r="F9" s="1"/>
      <x:c r="G9" s="1"/>
      <x:c r="H9" s="1"/>
    </x:row>
    <x:row r="10">
      <x:c r="A10" s="116" t="str">
        <x:v>New Spec IDs</x:v>
      </x:c>
      <x:c r="B10" s="38" t="str">
        <x:v>0</x:v>
      </x:c>
      <x:c r="C10" s="1"/>
      <x:c r="D10" s="1"/>
      <x:c r="E10" s="1"/>
      <x:c r="F10" s="1"/>
      <x:c r="G10" s="1"/>
      <x:c r="H10" s="1"/>
    </x:row>
    <x:row r="11">
      <x:c r="A11" s="116" t="str">
        <x:v>Research obligations</x:v>
      </x:c>
      <x:c r="B11" s="38" t="str">
        <x:v>20 / 8 packages / OPEN</x:v>
      </x:c>
      <x:c r="C11" s="1"/>
      <x:c r="D11" s="1"/>
      <x:c r="E11" s="1"/>
      <x:c r="F11" s="1"/>
      <x:c r="G11" s="1"/>
      <x:c r="H11" s="1"/>
    </x:row>
    <x:row r="12">
      <x:c r="A12" s="116" t="str">
        <x:v>SERs</x:v>
      </x:c>
      <x:c r="B12" s="38" t="str">
        <x:v>001..012 OPEN; 013 PARTIAL</x:v>
      </x:c>
      <x:c r="C12" s="1"/>
      <x:c r="D12" s="1"/>
      <x:c r="E12" s="1"/>
      <x:c r="F12" s="1"/>
      <x:c r="G12" s="1"/>
      <x:c r="H12" s="1"/>
    </x:row>
    <x:row r="13">
      <x:c r="A13" s="116" t="str">
        <x:v>Acceptance</x:v>
      </x:c>
      <x:c r="B13" s="38" t="str">
        <x:v>PREPARED / NOT_EXECUTED</x:v>
      </x:c>
      <x:c r="C13" s="1"/>
      <x:c r="D13" s="1"/>
      <x:c r="E13" s="1"/>
      <x:c r="F13" s="1"/>
      <x:c r="G13" s="1"/>
      <x:c r="H13" s="1"/>
    </x:row>
    <x:row r="14">
      <x:c r="A14" s="116" t="str">
        <x:v>Devin prompt</x:v>
      </x:c>
      <x:c r="B14" s="38" t="str">
        <x:v>NONE</x:v>
      </x:c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5" t="str">
        <x:v>Gate</x:v>
      </x:c>
      <x:c r="B16" s="5" t="str">
        <x:v>Status</x:v>
      </x:c>
      <x:c r="C16" s="5" t="str">
        <x:v>Evidence</x:v>
      </x:c>
      <x:c r="D16" s="5" t="str">
        <x:v>Blocker</x:v>
      </x:c>
      <x:c r="E16" s="5" t="str">
        <x:v>Required test</x:v>
      </x:c>
      <x:c r="F16" s="5" t="str">
        <x:v>Handoff effect</x:v>
      </x:c>
      <x:c r="G16" s="1"/>
      <x:c r="H16" s="1"/>
    </x:row>
    <x:row r="17" ht="44" customHeight="1">
      <x:c r="A17" s="19" t="str">
        <x:v>G1</x:v>
      </x:c>
      <x:c r="B17" s="19" t="str">
        <x:v>PASS</x:v>
      </x:c>
      <x:c r="C17" s="19" t="str">
        <x:v>Root + DNA</x:v>
      </x:c>
      <x:c r="D17" s="19" t="str"/>
      <x:c r="E17" s="19" t="str">
        <x:v>re-evaluate on mission change</x:v>
      </x:c>
      <x:c r="F17" s="19" t="str">
        <x:v>nonblocking</x:v>
      </x:c>
      <x:c r="G17" s="1"/>
      <x:c r="H17" s="1"/>
    </x:row>
    <x:row r="18" ht="44" customHeight="1">
      <x:c r="A18" s="19" t="str">
        <x:v>G2</x:v>
      </x:c>
      <x:c r="B18" s="19" t="str">
        <x:v>PARTIAL</x:v>
      </x:c>
      <x:c r="C18" s="19" t="str">
        <x:v>52–56/63/67</x:v>
      </x:c>
      <x:c r="D18" s="19" t="str">
        <x:v>SER-001/011/012</x:v>
      </x:c>
      <x:c r="E18" s="19" t="str">
        <x:v>No-Loss rerun</x:v>
      </x:c>
      <x:c r="F18" s="19" t="str">
        <x:v>blocking</x:v>
      </x:c>
      <x:c r="G18" s="1"/>
      <x:c r="H18" s="1"/>
    </x:row>
    <x:row r="19" ht="44" customHeight="1">
      <x:c r="A19" s="19" t="str">
        <x:v>G3</x:v>
      </x:c>
      <x:c r="B19" s="19" t="str">
        <x:v>PARTIAL</x:v>
      </x:c>
      <x:c r="C19" s="19" t="str">
        <x:v>BOOTSTRAP/schema/FX-A</x:v>
      </x:c>
      <x:c r="D19" s="19" t="str">
        <x:v>SER-009</x:v>
      </x:c>
      <x:c r="E19" s="19" t="str">
        <x:v>clean receipt</x:v>
      </x:c>
      <x:c r="F19" s="19" t="str">
        <x:v>blocking</x:v>
      </x:c>
      <x:c r="G19" s="1"/>
      <x:c r="H19" s="1"/>
    </x:row>
    <x:row r="20" ht="44" customHeight="1">
      <x:c r="A20" s="19" t="str">
        <x:v>G4</x:v>
      </x:c>
      <x:c r="B20" s="19" t="str">
        <x:v>BLOCKED</x:v>
      </x:c>
      <x:c r="C20" s="19" t="str">
        <x:v>71</x:v>
      </x:c>
      <x:c r="D20" s="19" t="str">
        <x:v>SER-002/003/006</x:v>
      </x:c>
      <x:c r="E20" s="19" t="str">
        <x:v>repo reconciliation</x:v>
      </x:c>
      <x:c r="F20" s="19" t="str">
        <x:v>blocking</x:v>
      </x:c>
      <x:c r="G20" s="1"/>
      <x:c r="H20" s="1"/>
    </x:row>
    <x:row r="21" ht="44" customHeight="1">
      <x:c r="A21" s="19" t="str">
        <x:v>G5</x:v>
      </x:c>
      <x:c r="B21" s="19" t="str">
        <x:v>PARTIAL</x:v>
      </x:c>
      <x:c r="C21" s="19" t="str">
        <x:v>57/69/75</x:v>
      </x:c>
      <x:c r="D21" s="19" t="str">
        <x:v>SER-002/010</x:v>
      </x:c>
      <x:c r="E21" s="19" t="str">
        <x:v>eligible-work derivation</x:v>
      </x:c>
      <x:c r="F21" s="19" t="str">
        <x:v>blocking</x:v>
      </x:c>
      <x:c r="G21" s="1"/>
      <x:c r="H21" s="1"/>
    </x:row>
    <x:row r="22" ht="44" customHeight="1">
      <x:c r="A22" s="19" t="str">
        <x:v>G6</x:v>
      </x:c>
      <x:c r="B22" s="19" t="str">
        <x:v>PASS</x:v>
      </x:c>
      <x:c r="C22" s="19" t="str">
        <x:v>58/70/73</x:v>
      </x:c>
      <x:c r="D22" s="19" t="str"/>
      <x:c r="E22" s="19" t="str">
        <x:v>expansion later</x:v>
      </x:c>
      <x:c r="F22" s="19" t="str">
        <x:v>nonblocking documentary</x:v>
      </x:c>
      <x:c r="G22" s="1"/>
      <x:c r="H22" s="1"/>
    </x:row>
    <x:row r="23" ht="44" customHeight="1">
      <x:c r="A23" s="19" t="str">
        <x:v>G7</x:v>
      </x:c>
      <x:c r="B23" s="19" t="str">
        <x:v>PASS</x:v>
      </x:c>
      <x:c r="C23" s="19" t="str">
        <x:v>0009/0010/70</x:v>
      </x:c>
      <x:c r="D23" s="19" t="str"/>
      <x:c r="E23" s="19" t="str">
        <x:v>routing later</x:v>
      </x:c>
      <x:c r="F23" s="19" t="str">
        <x:v>nonblocking documentary</x:v>
      </x:c>
      <x:c r="G23" s="1"/>
      <x:c r="H23" s="1"/>
    </x:row>
    <x:row r="24" ht="44" customHeight="1">
      <x:c r="A24" s="19" t="str">
        <x:v>G8</x:v>
      </x:c>
      <x:c r="B24" s="19" t="str">
        <x:v>PASS</x:v>
      </x:c>
      <x:c r="C24" s="19" t="str">
        <x:v>schemas/traces</x:v>
      </x:c>
      <x:c r="D24" s="19" t="str"/>
      <x:c r="E24" s="19" t="str">
        <x:v>negative state tests later</x:v>
      </x:c>
      <x:c r="F24" s="19" t="str">
        <x:v>nonblocking documentary</x:v>
      </x:c>
      <x:c r="G24" s="1"/>
      <x:c r="H24" s="1"/>
    </x:row>
    <x:row r="25" ht="44" customHeight="1">
      <x:c r="A25" s="19" t="str">
        <x:v>G9</x:v>
      </x:c>
      <x:c r="B25" s="19" t="str">
        <x:v>PARTIAL</x:v>
      </x:c>
      <x:c r="C25" s="19" t="str">
        <x:v>63/75</x:v>
      </x:c>
      <x:c r="D25" s="19" t="str">
        <x:v>fixture not run</x:v>
      </x:c>
      <x:c r="E25" s="19" t="str">
        <x:v>matrix exercise</x:v>
      </x:c>
      <x:c r="F25" s="19" t="str">
        <x:v>blocking</x:v>
      </x:c>
      <x:c r="G25" s="1"/>
      <x:c r="H25" s="1"/>
    </x:row>
    <x:row r="26" ht="44" customHeight="1">
      <x:c r="A26" s="19" t="str">
        <x:v>G10</x:v>
      </x:c>
      <x:c r="B26" s="19" t="str">
        <x:v>NOT_EXECUTED</x:v>
      </x:c>
      <x:c r="C26" s="19" t="str">
        <x:v>70 FX-J</x:v>
      </x:c>
      <x:c r="D26" s="19" t="str">
        <x:v>Session A/B absent</x:v>
      </x:c>
      <x:c r="E26" s="19" t="str">
        <x:v>restart equivalence</x:v>
      </x:c>
      <x:c r="F26" s="19" t="str">
        <x:v>blocking</x:v>
      </x:c>
      <x:c r="G26" s="1"/>
      <x:c r="H26" s="1"/>
    </x:row>
    <x:row r="27" ht="44" customHeight="1">
      <x:c r="A27" s="19" t="str">
        <x:v>G11</x:v>
      </x:c>
      <x:c r="B27" s="19" t="str">
        <x:v>PASS</x:v>
      </x:c>
      <x:c r="C27" s="19" t="str">
        <x:v>validator/manifest/hash/ZIP</x:v>
      </x:c>
      <x:c r="D27" s="19" t="str"/>
      <x:c r="E27" s="19" t="str">
        <x:v>rerun after delta</x:v>
      </x:c>
      <x:c r="F27" s="19" t="str">
        <x:v>nonblocking local integrity</x:v>
      </x:c>
      <x:c r="G27" s="1"/>
      <x:c r="H27" s="1"/>
    </x:row>
    <x:row r="28" ht="44" customHeight="1">
      <x:c r="A28" s="19" t="str">
        <x:v>G12</x:v>
      </x:c>
      <x:c r="B28" s="19" t="str">
        <x:v>PASS</x:v>
      </x:c>
      <x:c r="C28" s="19" t="str">
        <x:v>gaps/SER/RO</x:v>
      </x:c>
      <x:c r="D28" s="19" t="str"/>
      <x:c r="E28" s="19" t="str">
        <x:v>keep explicit</x:v>
      </x:c>
      <x:c r="F28" s="19" t="str">
        <x:v>nonblocking</x:v>
      </x:c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5" t="str">
        <x:v>3D artifact</x:v>
      </x:c>
      <x:c r="B30" s="5" t="str">
        <x:v>Identity</x:v>
      </x:c>
      <x:c r="C30" s="5" t="str">
        <x:v>Status</x:v>
      </x:c>
      <x:c r="D30" s="5" t="str">
        <x:v>Purpose</x:v>
      </x:c>
      <x:c r="E30" s="5" t="str">
        <x:v>Source</x:v>
      </x:c>
      <x:c r="F30" s="5" t="str">
        <x:v>Non-claim</x:v>
      </x:c>
      <x:c r="G30" s="1"/>
      <x:c r="H30" s="1"/>
    </x:row>
    <x:row r="31" ht="44" customHeight="1">
      <x:c r="A31" s="19" t="str">
        <x:v>Dedup</x:v>
      </x:c>
      <x:c r="B31" s="19" t="str">
        <x:v>HAPPY-KNOW-67</x:v>
      </x:c>
      <x:c r="C31" s="19" t="str">
        <x:v>VALIDATED_DRAFT</x:v>
      </x:c>
      <x:c r="D31" s="19" t="str">
        <x:v>classify overlap/aliases/evolution</x:v>
      </x:c>
      <x:c r="E31" s="19" t="str">
        <x:v>3C corpus</x:v>
      </x:c>
      <x:c r="F31" s="19" t="str">
        <x:v>no deleted history</x:v>
      </x:c>
      <x:c r="G31" s="1"/>
      <x:c r="H31" s="1"/>
    </x:row>
    <x:row r="32" ht="44" customHeight="1">
      <x:c r="A32" s="19" t="str">
        <x:v>Standards</x:v>
      </x:c>
      <x:c r="B32" s="19" t="str">
        <x:v>HAPPY-KNOW-68</x:v>
      </x:c>
      <x:c r="C32" s="19" t="str">
        <x:v>RESEARCHED_NOT_ADOPTED</x:v>
      </x:c>
      <x:c r="D32" s="19" t="str">
        <x:v>standard/thin-layer fit</x:v>
      </x:c>
      <x:c r="E32" s="19" t="str">
        <x:v>official sources</x:v>
      </x:c>
      <x:c r="F32" s="19" t="str">
        <x:v>no bank adoption</x:v>
      </x:c>
      <x:c r="G32" s="1"/>
      <x:c r="H32" s="1"/>
    </x:row>
    <x:row r="33" ht="44" customHeight="1">
      <x:c r="A33" s="19" t="str">
        <x:v>Root views</x:v>
      </x:c>
      <x:c r="B33" s="19" t="str">
        <x:v>HAPPY-KNOW-69</x:v>
      </x:c>
      <x:c r="C33" s="19" t="str">
        <x:v>ASSEMBLED</x:v>
      </x:c>
      <x:c r="D33" s="19" t="str">
        <x:v>navigation/model-of-models</x:v>
      </x:c>
      <x:c r="E33" s="19" t="str">
        <x:v>3C model</x:v>
      </x:c>
      <x:c r="F33" s="19" t="str">
        <x:v>not final ontology</x:v>
      </x:c>
      <x:c r="G33" s="1"/>
      <x:c r="H33" s="1"/>
    </x:row>
    <x:row r="34" ht="44" customHeight="1">
      <x:c r="A34" s="19" t="str">
        <x:v>Fixtures</x:v>
      </x:c>
      <x:c r="B34" s="19" t="str">
        <x:v>HAPPY-KNOW-70/71</x:v>
      </x:c>
      <x:c r="C34" s="19" t="str">
        <x:v>DESIGNED</x:v>
      </x:c>
      <x:c r="D34" s="19" t="str">
        <x:v>prepare acceptance/reconciliation</x:v>
      </x:c>
      <x:c r="E34" s="19" t="str">
        <x:v>Seed gates</x:v>
      </x:c>
      <x:c r="F34" s="19" t="str">
        <x:v>not executed</x:v>
      </x:c>
      <x:c r="G34" s="1"/>
      <x:c r="H34" s="1"/>
    </x:row>
    <x:row r="35" ht="44" customHeight="1">
      <x:c r="A35" s="19" t="str">
        <x:v>Normalization</x:v>
      </x:c>
      <x:c r="B35" s="19" t="str">
        <x:v>HAPPY-KNOW-72</x:v>
      </x:c>
      <x:c r="C35" s="19" t="str">
        <x:v>DRAFT</x:v>
      </x:c>
      <x:c r="D35" s="19" t="str">
        <x:v>RO/SER execution structure</x:v>
      </x:c>
      <x:c r="E35" s="19" t="str">
        <x:v>existing registers</x:v>
      </x:c>
      <x:c r="F35" s="19" t="str">
        <x:v>no SER inferred closed</x:v>
      </x:c>
      <x:c r="G35" s="1"/>
      <x:c r="H35" s="1"/>
    </x:row>
    <x:row r="36" ht="44" customHeight="1">
      <x:c r="A36" s="19" t="str">
        <x:v>Boundary</x:v>
      </x:c>
      <x:c r="B36" s="19" t="str">
        <x:v>HAPPY-KNOW-73</x:v>
      </x:c>
      <x:c r="C36" s="19" t="str">
        <x:v>DRAFT</x:v>
      </x:c>
      <x:c r="D36" s="19" t="str">
        <x:v>Seed vs Devin expansion</x:v>
      </x:c>
      <x:c r="E36" s="19" t="str">
        <x:v>user directive</x:v>
      </x:c>
      <x:c r="F36" s="19" t="str">
        <x:v>no implementation</x:v>
      </x:c>
      <x:c r="G36" s="1"/>
      <x:c r="H36" s="1"/>
    </x:row>
    <x:row r="37" ht="44" customHeight="1">
      <x:c r="A37" s="19" t="str">
        <x:v>Integrity</x:v>
      </x:c>
      <x:c r="B37" s="19" t="str">
        <x:v>HAPPY-KNOW-76/77</x:v>
      </x:c>
      <x:c r="C37" s="19" t="str">
        <x:v>VALIDATED_LOCAL</x:v>
      </x:c>
      <x:c r="D37" s="19" t="str">
        <x:v>manifest/hash/archive</x:v>
      </x:c>
      <x:c r="E37" s="19" t="str">
        <x:v>assembled Seed</x:v>
      </x:c>
      <x:c r="F37" s="19" t="str">
        <x:v>not delivery or runtime proof</x:v>
      </x:c>
      <x:c r="G37" s="1"/>
      <x:c r="H37" s="1"/>
    </x:row>
    <x:row r="38" ht="44" customHeight="1">
      <x:c r="A38" s="19" t="str">
        <x:v>Status</x:v>
      </x:c>
      <x:c r="B38" s="19" t="str">
        <x:v>HAPPY-KNOW-78</x:v>
      </x:c>
      <x:c r="C38" s="19" t="str">
        <x:v>DRAFT</x:v>
      </x:c>
      <x:c r="D38" s="19" t="str">
        <x:v>closing report</x:v>
      </x:c>
      <x:c r="E38" s="19" t="str">
        <x:v>all above</x:v>
      </x:c>
      <x:c r="F38" s="19" t="str">
        <x:v>handoff remains false</x:v>
      </x:c>
      <x:c r="G38" s="1"/>
      <x:c r="H38" s="1"/>
    </x:row>
  </x:sheetData>
  <x:mergeCells>
    <x:mergeCell ref="A1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5" hidden="0" customWidth="1"/>
    <x:col min="3" max="3" width="34" hidden="0" customWidth="1"/>
    <x:col min="4" max="4" width="42" hidden="0" customWidth="1"/>
    <x:col min="5" max="5" width="34" hidden="0" customWidth="1"/>
    <x:col min="6" max="6" width="38" hidden="0" customWidth="1"/>
    <x:col min="7" max="7" width="16" hidden="0" customWidth="1"/>
    <x:col min="8" max="8" width="16" hidden="0" customWidth="1"/>
  </x:cols>
  <x:sheetData>
    <x:row r="1">
      <x:c r="A1" s="123" t="str">
        <x:v>HAPPY — Oleada 3E | Federated Evolution / Deterministic Maturity / Knowledge Geometry | DRAFT</x:v>
      </x:c>
      <x:c r="B1" s="123"/>
      <x:c r="C1" s="123"/>
      <x:c r="D1" s="123"/>
      <x:c r="E1" s="123"/>
      <x:c r="F1" s="123"/>
      <x:c r="G1" s="123"/>
      <x:c r="H1" s="123"/>
    </x:row>
    <x:row r="2">
      <x:c r="A2" s="123"/>
      <x:c r="B2" s="123"/>
      <x:c r="C2" s="123"/>
      <x:c r="D2" s="123"/>
      <x:c r="E2" s="123"/>
      <x:c r="F2" s="123"/>
      <x:c r="G2" s="123"/>
      <x:c r="H2" s="123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5" t="str">
        <x:v>Control</x:v>
      </x:c>
      <x:c r="B4" s="5" t="str">
        <x:v>State</x:v>
      </x:c>
      <x:c r="C4" s="1"/>
      <x:c r="D4" s="1"/>
      <x:c r="E4" s="1"/>
      <x:c r="F4" s="1"/>
      <x:c r="G4" s="1"/>
      <x:c r="H4" s="1"/>
    </x:row>
    <x:row r="5">
      <x:c r="A5" s="116" t="str">
        <x:v>Seed version</x:v>
      </x:c>
      <x:c r="B5" s="38" t="str">
        <x:v>0.9.0-assembly.2</x:v>
      </x:c>
      <x:c r="C5" s="1"/>
      <x:c r="D5" s="1"/>
      <x:c r="E5" s="1"/>
      <x:c r="F5" s="1"/>
      <x:c r="G5" s="1"/>
      <x:c r="H5" s="1"/>
    </x:row>
    <x:row r="6">
      <x:c r="A6" s="116" t="str">
        <x:v>Delivery</x:v>
      </x:c>
      <x:c r="B6" s="38" t="str">
        <x:v>PREPARED_NOT_DELIVERED</x:v>
      </x:c>
      <x:c r="C6" s="1"/>
      <x:c r="D6" s="1"/>
      <x:c r="E6" s="1"/>
      <x:c r="F6" s="1"/>
      <x:c r="G6" s="1"/>
      <x:c r="H6" s="1"/>
    </x:row>
    <x:row r="7">
      <x:c r="A7" s="116" t="str">
        <x:v>HAPPY_HANDOFF_READY</x:v>
      </x:c>
      <x:c r="B7" s="38" t="str">
        <x:v>FALSE</x:v>
      </x:c>
      <x:c r="C7" s="1"/>
      <x:c r="D7" s="1"/>
      <x:c r="E7" s="1"/>
      <x:c r="F7" s="1"/>
      <x:c r="G7" s="1"/>
      <x:c r="H7" s="1"/>
    </x:row>
    <x:row r="8">
      <x:c r="A8" s="116" t="str">
        <x:v>Spec baseline build ready</x:v>
      </x:c>
      <x:c r="B8" s="38" t="str">
        <x:v>FALSE</x:v>
      </x:c>
      <x:c r="C8" s="1"/>
      <x:c r="D8" s="1"/>
      <x:c r="E8" s="1"/>
      <x:c r="F8" s="1"/>
      <x:c r="G8" s="1"/>
      <x:c r="H8" s="1"/>
    </x:row>
    <x:row r="9">
      <x:c r="A9" s="116" t="str">
        <x:v>Formal Specs</x:v>
      </x:c>
      <x:c r="B9" s="38" t="str">
        <x:v>10</x:v>
      </x:c>
      <x:c r="C9" s="1"/>
      <x:c r="D9" s="1"/>
      <x:c r="E9" s="1"/>
      <x:c r="F9" s="1"/>
      <x:c r="G9" s="1"/>
      <x:c r="H9" s="1"/>
    </x:row>
    <x:row r="10">
      <x:c r="A10" s="116" t="str">
        <x:v>New Spec IDs</x:v>
      </x:c>
      <x:c r="B10" s="38" t="str">
        <x:v>0</x:v>
      </x:c>
      <x:c r="C10" s="1"/>
      <x:c r="D10" s="1"/>
      <x:c r="E10" s="1"/>
      <x:c r="F10" s="1"/>
      <x:c r="G10" s="1"/>
      <x:c r="H10" s="1"/>
    </x:row>
    <x:row r="11">
      <x:c r="A11" s="116" t="str">
        <x:v>Capabilities</x:v>
      </x:c>
      <x:c r="B11" s="38" t="str">
        <x:v>23 retained; 3 extended</x:v>
      </x:c>
      <x:c r="C11" s="1"/>
      <x:c r="D11" s="1"/>
      <x:c r="E11" s="1"/>
      <x:c r="F11" s="1"/>
      <x:c r="G11" s="1"/>
      <x:c r="H11" s="1"/>
    </x:row>
    <x:row r="12">
      <x:c r="A12" s="116" t="str">
        <x:v>Research obligations</x:v>
      </x:c>
      <x:c r="B12" s="38" t="str">
        <x:v>24 OPEN</x:v>
      </x:c>
      <x:c r="C12" s="1"/>
      <x:c r="D12" s="1"/>
      <x:c r="E12" s="1"/>
      <x:c r="F12" s="1"/>
      <x:c r="G12" s="1"/>
      <x:c r="H12" s="1"/>
    </x:row>
    <x:row r="13">
      <x:c r="A13" s="116" t="str">
        <x:v>SERs</x:v>
      </x:c>
      <x:c r="B13" s="38" t="str">
        <x:v>001..012/014 OPEN; 013 PARTIAL</x:v>
      </x:c>
      <x:c r="C13" s="1"/>
      <x:c r="D13" s="1"/>
      <x:c r="E13" s="1"/>
      <x:c r="F13" s="1"/>
      <x:c r="G13" s="1"/>
      <x:c r="H13" s="1"/>
    </x:row>
    <x:row r="14">
      <x:c r="A14" s="116" t="str">
        <x:v>Acceptance</x:v>
      </x:c>
      <x:c r="B14" s="38" t="str">
        <x:v>FX-K + tests DESIGNED / NOT_EXECUTED</x:v>
      </x:c>
      <x:c r="C14" s="1"/>
      <x:c r="D14" s="1"/>
      <x:c r="E14" s="1"/>
      <x:c r="F14" s="1"/>
      <x:c r="G14" s="1"/>
      <x:c r="H14" s="1"/>
    </x:row>
    <x:row r="15">
      <x:c r="A15" s="116" t="str">
        <x:v>Devin prompt</x:v>
      </x:c>
      <x:c r="B15" s="38" t="str">
        <x:v>NONE</x:v>
      </x:c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5" t="str">
        <x:v>3E model</x:v>
      </x:c>
      <x:c r="B17" s="5" t="str">
        <x:v>Disposition</x:v>
      </x:c>
      <x:c r="C17" s="5" t="str">
        <x:v>Existing identity</x:v>
      </x:c>
      <x:c r="D17" s="5" t="str">
        <x:v>Evidence/status</x:v>
      </x:c>
      <x:c r="E17" s="5" t="str">
        <x:v>Blocker</x:v>
      </x:c>
      <x:c r="F17" s="5" t="str">
        <x:v>Expansion owner</x:v>
      </x:c>
      <x:c r="G17" s="1"/>
      <x:c r="H17" s="1"/>
    </x:row>
    <x:row r="18" ht="48" customHeight="1">
      <x:c r="A18" s="19" t="str">
        <x:v>Federated organization</x:v>
      </x:c>
      <x:c r="B18" s="19" t="str">
        <x:v>EXTEND</x:v>
      </x:c>
      <x:c r="C18" s="19" t="str">
        <x:v>CAP-3C-009/022</x:v>
      </x:c>
      <x:c r="D18" s="19" t="str">
        <x:v>TARGET / authority boundary canonical</x:v>
      </x:c>
      <x:c r="E18" s="19" t="str">
        <x:v>SER-014</x:v>
      </x:c>
      <x:c r="F18" s="19" t="str">
        <x:v>Devin + domain authority</x:v>
      </x:c>
      <x:c r="G18" s="1"/>
      <x:c r="H18" s="1"/>
    </x:row>
    <x:row r="19" ht="48" customHeight="1">
      <x:c r="A19" s="19" t="str">
        <x:v>Domain introspection</x:v>
      </x:c>
      <x:c r="B19" s="19" t="str">
        <x:v>PROFILE_CANDIDATE</x:v>
      </x:c>
      <x:c r="C19" s="19" t="str">
        <x:v>0001/0005/0007/0032</x:v>
      </x:c>
      <x:c r="D19" s="19" t="str">
        <x:v>non-intrusive direction</x:v>
      </x:c>
      <x:c r="E19" s="19" t="str">
        <x:v>sources/permissions</x:v>
      </x:c>
      <x:c r="F19" s="19" t="str">
        <x:v>Devin post-handoff</x:v>
      </x:c>
      <x:c r="G19" s="1"/>
      <x:c r="H19" s="1"/>
    </x:row>
    <x:row r="20" ht="48" customHeight="1">
      <x:c r="A20" s="19" t="str">
        <x:v>Deterministic maturity</x:v>
      </x:c>
      <x:c r="B20" s="19" t="str">
        <x:v>EXTEND</x:v>
      </x:c>
      <x:c r="C20" s="19" t="str">
        <x:v>DNA-CAN-006; 0019/0020/0029</x:v>
      </x:c>
      <x:c r="D20" s="19" t="str">
        <x:v>DESIGN / NOT_PROVEN</x:v>
      </x:c>
      <x:c r="E20" s="19" t="str">
        <x:v>Harness/shadow/owner</x:v>
      </x:c>
      <x:c r="F20" s="19" t="str">
        <x:v>Devin + domain owner</x:v>
      </x:c>
      <x:c r="G20" s="1"/>
      <x:c r="H20" s="1"/>
    </x:row>
    <x:row r="21" ht="48" customHeight="1">
      <x:c r="A21" s="19" t="str">
        <x:v>Domain Context/UX</x:v>
      </x:c>
      <x:c r="B21" s="19" t="str">
        <x:v>PROJECTION_PROFILE</x:v>
      </x:c>
      <x:c r="C21" s="19" t="str">
        <x:v>0003/0005/0034; CAP-016</x:v>
      </x:c>
      <x:c r="D21" s="19" t="str">
        <x:v>TARGET / SOURCE_GATED</x:v>
      </x:c>
      <x:c r="E21" s="19" t="str">
        <x:v>personas/permissions</x:v>
      </x:c>
      <x:c r="F21" s="19" t="str">
        <x:v>Devin + Product/domain</x:v>
      </x:c>
      <x:c r="G21" s="1"/>
      <x:c r="H21" s="1"/>
    </x:row>
    <x:row r="22" ht="48" customHeight="1">
      <x:c r="A22" s="19" t="str">
        <x:v>Knowledge geometry</x:v>
      </x:c>
      <x:c r="B22" s="19" t="str">
        <x:v>DERIVED_SYNTHESIS</x:v>
      </x:c>
      <x:c r="C22" s="19" t="str">
        <x:v>56/69/80</x:v>
      </x:c>
      <x:c r="D22" s="19" t="str">
        <x:v>no technology selection</x:v>
      </x:c>
      <x:c r="E22" s="19" t="str">
        <x:v>RO-3E-001..003</x:v>
      </x:c>
      <x:c r="F22" s="19" t="str">
        <x:v>Devin research/expansion</x:v>
      </x:c>
      <x:c r="G22" s="1"/>
      <x:c r="H22" s="1"/>
    </x:row>
    <x:row r="23" ht="48" customHeight="1">
      <x:c r="A23" s="19" t="str">
        <x:v>Human value shift</x:v>
      </x:c>
      <x:c r="B23" s="19" t="str">
        <x:v>PROPOSAL</x:v>
      </x:c>
      <x:c r="C23" s="19" t="str">
        <x:v>Target Operating Model</x:v>
      </x:c>
      <x:c r="D23" s="19" t="str">
        <x:v>authority-gated</x:v>
      </x:c>
      <x:c r="E23" s="19" t="str">
        <x:v>SER-014/governance</x:v>
      </x:c>
      <x:c r="F23" s="19" t="str">
        <x:v>Human authority</x:v>
      </x:c>
      <x:c r="G23" s="1"/>
      <x:c r="H23" s="1"/>
    </x:row>
    <x:row r="24" ht="48" customHeight="1">
      <x:c r="A24" s="19" t="str">
        <x:v>Expansion obligations</x:v>
      </x:c>
      <x:c r="B24" s="19" t="str">
        <x:v>ROOT_VIEW</x:v>
      </x:c>
      <x:c r="C24" s="19" t="str">
        <x:v>EXP-3E-001..012</x:v>
      </x:c>
      <x:c r="D24" s="19" t="str">
        <x:v>DOCUMENTARY_DRAFT</x:v>
      </x:c>
      <x:c r="E24" s="19" t="str">
        <x:v>acceptance</x:v>
      </x:c>
      <x:c r="F24" s="19" t="str">
        <x:v>Devin post-cutover</x:v>
      </x:c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5" t="str">
        <x:v>Gate</x:v>
      </x:c>
      <x:c r="B26" s="5" t="str">
        <x:v>Status</x:v>
      </x:c>
      <x:c r="C26" s="5" t="str">
        <x:v>3E evidence</x:v>
      </x:c>
      <x:c r="D26" s="5" t="str">
        <x:v>Still missing</x:v>
      </x:c>
      <x:c r="E26" s="5" t="str">
        <x:v>Effect</x:v>
      </x:c>
      <x:c r="F26" s="5" t="str">
        <x:v>Rule</x:v>
      </x:c>
      <x:c r="G26" s="1"/>
      <x:c r="H26" s="1"/>
    </x:row>
    <x:row r="27" ht="48" customHeight="1">
      <x:c r="A27" s="19" t="str">
        <x:v>G1</x:v>
      </x:c>
      <x:c r="B27" s="19" t="str">
        <x:v>PASS</x:v>
      </x:c>
      <x:c r="C27" s="19" t="str">
        <x:v>identity/North Star unchanged</x:v>
      </x:c>
      <x:c r="D27" s="19" t="str"/>
      <x:c r="E27" s="19" t="str">
        <x:v>nonblocking</x:v>
      </x:c>
      <x:c r="F27" s="19" t="str">
        <x:v>preserve</x:v>
      </x:c>
      <x:c r="G27" s="1"/>
      <x:c r="H27" s="1"/>
    </x:row>
    <x:row r="28" ht="48" customHeight="1">
      <x:c r="A28" s="19" t="str">
        <x:v>G2</x:v>
      </x:c>
      <x:c r="B28" s="19" t="str">
        <x:v>PARTIAL</x:v>
      </x:c>
      <x:c r="C28" s="19" t="str">
        <x:v>3E intent mapped</x:v>
      </x:c>
      <x:c r="D28" s="19" t="str">
        <x:v>SER-001/011/012</x:v>
      </x:c>
      <x:c r="E28" s="19" t="str">
        <x:v>blocking</x:v>
      </x:c>
      <x:c r="F28" s="19" t="str">
        <x:v>no-loss proof</x:v>
      </x:c>
      <x:c r="G28" s="1"/>
      <x:c r="H28" s="1"/>
    </x:row>
    <x:row r="29" ht="48" customHeight="1">
      <x:c r="A29" s="19" t="str">
        <x:v>G3</x:v>
      </x:c>
      <x:c r="B29" s="19" t="str">
        <x:v>PARTIAL</x:v>
      </x:c>
      <x:c r="C29" s="19" t="str">
        <x:v>root obligations added</x:v>
      </x:c>
      <x:c r="D29" s="19" t="str">
        <x:v>clean receipt</x:v>
      </x:c>
      <x:c r="E29" s="19" t="str">
        <x:v>blocking</x:v>
      </x:c>
      <x:c r="F29" s="19" t="str">
        <x:v>execute later</x:v>
      </x:c>
      <x:c r="G29" s="1"/>
      <x:c r="H29" s="1"/>
    </x:row>
    <x:row r="30" ht="48" customHeight="1">
      <x:c r="A30" s="19" t="str">
        <x:v>G4</x:v>
      </x:c>
      <x:c r="B30" s="19" t="str">
        <x:v>BLOCKED</x:v>
      </x:c>
      <x:c r="C30" s="19" t="str">
        <x:v>template only</x:v>
      </x:c>
      <x:c r="D30" s="19" t="str">
        <x:v>SER-002/003/006</x:v>
      </x:c>
      <x:c r="E30" s="19" t="str">
        <x:v>blocking</x:v>
      </x:c>
      <x:c r="F30" s="19" t="str">
        <x:v>reconcile actual state</x:v>
      </x:c>
      <x:c r="G30" s="1"/>
      <x:c r="H30" s="1"/>
    </x:row>
    <x:row r="31" ht="48" customHeight="1">
      <x:c r="A31" s="19" t="str">
        <x:v>G5</x:v>
      </x:c>
      <x:c r="B31" s="19" t="str">
        <x:v>PARTIAL</x:v>
      </x:c>
      <x:c r="C31" s="19" t="str">
        <x:v>EXP register and paths</x:v>
      </x:c>
      <x:c r="D31" s="19" t="str">
        <x:v>actual state/priority</x:v>
      </x:c>
      <x:c r="E31" s="19" t="str">
        <x:v>blocking</x:v>
      </x:c>
      <x:c r="F31" s="19" t="str">
        <x:v>no invented weights</x:v>
      </x:c>
      <x:c r="G31" s="1"/>
      <x:c r="H31" s="1"/>
    </x:row>
    <x:row r="32" ht="48" customHeight="1">
      <x:c r="A32" s="19" t="str">
        <x:v>G6</x:v>
      </x:c>
      <x:c r="B32" s="19" t="str">
        <x:v>PASS</x:v>
      </x:c>
      <x:c r="C32" s="19" t="str">
        <x:v>Expansion Contract + EXP-3E</x:v>
      </x:c>
      <x:c r="D32" s="19" t="str">
        <x:v>runtime exercise</x:v>
      </x:c>
      <x:c r="E32" s="19" t="str">
        <x:v>documentary pass</x:v>
      </x:c>
      <x:c r="F32" s="19" t="str">
        <x:v>preserve</x:v>
      </x:c>
      <x:c r="G32" s="1"/>
      <x:c r="H32" s="1"/>
    </x:row>
    <x:row r="33" ht="48" customHeight="1">
      <x:c r="A33" s="19" t="str">
        <x:v>G7</x:v>
      </x:c>
      <x:c r="B33" s="19" t="str">
        <x:v>PASS</x:v>
      </x:c>
      <x:c r="C33" s="19" t="str">
        <x:v>authority/Decision Package</x:v>
      </x:c>
      <x:c r="D33" s="19" t="str">
        <x:v>enforcement/owners</x:v>
      </x:c>
      <x:c r="E33" s="19" t="str">
        <x:v>documentary pass</x:v>
      </x:c>
      <x:c r="F33" s="19" t="str">
        <x:v>preserve</x:v>
      </x:c>
      <x:c r="G33" s="1"/>
      <x:c r="H33" s="1"/>
    </x:row>
    <x:row r="34" ht="48" customHeight="1">
      <x:c r="A34" s="19" t="str">
        <x:v>G8</x:v>
      </x:c>
      <x:c r="B34" s="19" t="str">
        <x:v>PASS</x:v>
      </x:c>
      <x:c r="C34" s="19" t="str">
        <x:v>assurance/state fidelity</x:v>
      </x:c>
      <x:c r="D34" s="19" t="str">
        <x:v>runtime enforcement</x:v>
      </x:c>
      <x:c r="E34" s="19" t="str">
        <x:v>documentary pass</x:v>
      </x:c>
      <x:c r="F34" s="19" t="str">
        <x:v>preserve</x:v>
      </x:c>
      <x:c r="G34" s="1"/>
      <x:c r="H34" s="1"/>
    </x:row>
    <x:row r="35" ht="48" customHeight="1">
      <x:c r="A35" s="19" t="str">
        <x:v>G9</x:v>
      </x:c>
      <x:c r="B35" s="19" t="str">
        <x:v>PARTIAL</x:v>
      </x:c>
      <x:c r="C35" s="19" t="str">
        <x:v>FX-K/checklist</x:v>
      </x:c>
      <x:c r="D35" s="19" t="str">
        <x:v>execution</x:v>
      </x:c>
      <x:c r="E35" s="19" t="str">
        <x:v>blocking</x:v>
      </x:c>
      <x:c r="F35" s="19" t="str">
        <x:v>apply matrix</x:v>
      </x:c>
      <x:c r="G35" s="1"/>
      <x:c r="H35" s="1"/>
    </x:row>
    <x:row r="36" ht="48" customHeight="1">
      <x:c r="A36" s="19" t="str">
        <x:v>G10</x:v>
      </x:c>
      <x:c r="B36" s="19" t="str">
        <x:v>NOT_EXECUTED</x:v>
      </x:c>
      <x:c r="C36" s="19" t="str">
        <x:v>restart contract unchanged</x:v>
      </x:c>
      <x:c r="D36" s="19" t="str">
        <x:v>Session A/B</x:v>
      </x:c>
      <x:c r="E36" s="19" t="str">
        <x:v>blocking</x:v>
      </x:c>
      <x:c r="F36" s="19" t="str">
        <x:v>execute later</x:v>
      </x:c>
      <x:c r="G36" s="1"/>
      <x:c r="H36" s="1"/>
    </x:row>
    <x:row r="37" ht="48" customHeight="1">
      <x:c r="A37" s="19" t="str">
        <x:v>G11</x:v>
      </x:c>
      <x:c r="B37" s="19" t="str">
        <x:v>PASS</x:v>
      </x:c>
      <x:c r="C37" s="19" t="str">
        <x:v>local package validator/hash/ZIP</x:v>
      </x:c>
      <x:c r="D37" s="19" t="str">
        <x:v>rerun after delta</x:v>
      </x:c>
      <x:c r="E37" s="19" t="str">
        <x:v>local pass</x:v>
      </x:c>
      <x:c r="F37" s="19" t="str">
        <x:v>not delivery</x:v>
      </x:c>
      <x:c r="G37" s="1"/>
      <x:c r="H37" s="1"/>
    </x:row>
    <x:row r="38" ht="48" customHeight="1">
      <x:c r="A38" s="19" t="str">
        <x:v>G12</x:v>
      </x:c>
      <x:c r="B38" s="19" t="str">
        <x:v>PASS</x:v>
      </x:c>
      <x:c r="C38" s="19" t="str">
        <x:v>SER/RO/gaps explicit</x:v>
      </x:c>
      <x:c r="D38" s="19" t="str"/>
      <x:c r="E38" s="19" t="str">
        <x:v>nonblocking</x:v>
      </x:c>
      <x:c r="F38" s="19" t="str">
        <x:v>unknown allowed</x:v>
      </x:c>
      <x:c r="G38" s="1"/>
      <x:c r="H38" s="1"/>
    </x:row>
  </x:sheetData>
  <x:mergeCells>
    <x:mergeCell ref="A1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38" hidden="0" customWidth="1"/>
    <x:col min="5" max="5" width="38" hidden="0" customWidth="1"/>
    <x:col min="6" max="6" width="38" hidden="0" customWidth="1"/>
    <x:col min="7" max="7" width="22" hidden="0" customWidth="1"/>
    <x:col min="8" max="8" width="27" hidden="0" customWidth="1"/>
  </x:cols>
  <x:sheetData>
    <x:row r="1">
      <x:c r="A1" s="187" t="str">
        <x:v>HAPPY — Seed Acceptance Preparation | Reconciliation / Assurance / First Frontier | DRAFT</x:v>
      </x:c>
      <x:c r="B1" s="187"/>
      <x:c r="C1" s="187"/>
      <x:c r="D1" s="187"/>
      <x:c r="E1" s="187"/>
      <x:c r="F1" s="187"/>
      <x:c r="G1" s="187"/>
      <x:c r="H1" s="187"/>
    </x:row>
    <x:row r="2">
      <x:c r="A2" s="187"/>
      <x:c r="B2" s="187"/>
      <x:c r="C2" s="187"/>
      <x:c r="D2" s="187"/>
      <x:c r="E2" s="187"/>
      <x:c r="F2" s="187"/>
      <x:c r="G2" s="187"/>
      <x:c r="H2" s="187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88" t="str">
        <x:v>Control</x:v>
      </x:c>
      <x:c r="B4" s="188" t="str">
        <x:v>State</x:v>
      </x:c>
      <x:c r="C4" s="1"/>
      <x:c r="D4" s="1"/>
      <x:c r="E4" s="1"/>
      <x:c r="F4" s="1"/>
      <x:c r="G4" s="1"/>
      <x:c r="H4" s="1"/>
    </x:row>
    <x:row r="5">
      <x:c r="A5" s="178" t="str">
        <x:v>Input seed</x:v>
      </x:c>
      <x:c r="B5" s="189" t="str">
        <x:v>0.9.0-assembly.2 / preserved</x:v>
      </x:c>
      <x:c r="C5" s="1"/>
      <x:c r="D5" s="1"/>
      <x:c r="E5" s="1"/>
      <x:c r="F5" s="1"/>
      <x:c r="G5" s="1"/>
      <x:c r="H5" s="1"/>
    </x:row>
    <x:row r="6">
      <x:c r="A6" s="178" t="str">
        <x:v>Output seed</x:v>
      </x:c>
      <x:c r="B6" s="189" t="str">
        <x:v>0.9.1-acceptance-prep.1</x:v>
      </x:c>
      <x:c r="C6" s="1"/>
      <x:c r="D6" s="1"/>
      <x:c r="E6" s="1"/>
      <x:c r="F6" s="1"/>
      <x:c r="G6" s="1"/>
      <x:c r="H6" s="1"/>
    </x:row>
    <x:row r="7">
      <x:c r="A7" s="178" t="str">
        <x:v>Delivery</x:v>
      </x:c>
      <x:c r="B7" s="189" t="str">
        <x:v>PREPARED_NOT_DELIVERED</x:v>
      </x:c>
      <x:c r="C7" s="1"/>
      <x:c r="D7" s="1"/>
      <x:c r="E7" s="1"/>
      <x:c r="F7" s="1"/>
      <x:c r="G7" s="1"/>
      <x:c r="H7" s="1"/>
    </x:row>
    <x:row r="8">
      <x:c r="A8" s="178" t="str">
        <x:v>HAPPY_HANDOFF_READY</x:v>
      </x:c>
      <x:c r="B8" s="189" t="str">
        <x:v>FALSE</x:v>
      </x:c>
      <x:c r="C8" s="1"/>
      <x:c r="D8" s="1"/>
      <x:c r="E8" s="1"/>
      <x:c r="F8" s="1"/>
      <x:c r="G8" s="1"/>
      <x:c r="H8" s="1"/>
    </x:row>
    <x:row r="9">
      <x:c r="A9" s="178" t="str">
        <x:v>Spec baseline build ready</x:v>
      </x:c>
      <x:c r="B9" s="189" t="str">
        <x:v>FALSE</x:v>
      </x:c>
      <x:c r="C9" s="1"/>
      <x:c r="D9" s="1"/>
      <x:c r="E9" s="1"/>
      <x:c r="F9" s="1"/>
      <x:c r="G9" s="1"/>
      <x:c r="H9" s="1"/>
    </x:row>
    <x:row r="10">
      <x:c r="A10" s="178" t="str">
        <x:v>Formal Specs</x:v>
      </x:c>
      <x:c r="B10" s="189" t="str">
        <x:v>10; new IDs 0</x:v>
      </x:c>
      <x:c r="C10" s="1"/>
      <x:c r="D10" s="1"/>
      <x:c r="E10" s="1"/>
      <x:c r="F10" s="1"/>
      <x:c r="G10" s="1"/>
      <x:c r="H10" s="1"/>
    </x:row>
    <x:row r="11">
      <x:c r="A11" s="178" t="str">
        <x:v>Research obligations</x:v>
      </x:c>
      <x:c r="B11" s="189" t="str">
        <x:v>25 OPEN</x:v>
      </x:c>
      <x:c r="C11" s="1"/>
      <x:c r="D11" s="1"/>
      <x:c r="E11" s="1"/>
      <x:c r="F11" s="1"/>
      <x:c r="G11" s="1"/>
      <x:c r="H11" s="1"/>
    </x:row>
    <x:row r="12">
      <x:c r="A12" s="178" t="str">
        <x:v>SERs</x:v>
      </x:c>
      <x:c r="B12" s="189" t="str">
        <x:v>001..012/014 OPEN; 013 PARTIAL</x:v>
      </x:c>
      <x:c r="C12" s="1"/>
      <x:c r="D12" s="1"/>
      <x:c r="E12" s="1"/>
      <x:c r="F12" s="1"/>
      <x:c r="G12" s="1"/>
      <x:c r="H12" s="1"/>
    </x:row>
    <x:row r="13">
      <x:c r="A13" s="178" t="str">
        <x:v>Acceptance fixtures</x:v>
      </x:c>
      <x:c r="B13" s="189" t="str">
        <x:v>FX-L..T DESIGNED_NOT_EXECUTED</x:v>
      </x:c>
      <x:c r="C13" s="1"/>
      <x:c r="D13" s="1"/>
      <x:c r="E13" s="1"/>
      <x:c r="F13" s="1"/>
      <x:c r="G13" s="1"/>
      <x:c r="H13" s="1"/>
    </x:row>
    <x:row r="14">
      <x:c r="A14" s="178" t="str">
        <x:v>Source order</x:v>
      </x:c>
      <x:c r="B14" s="189" t="str">
        <x:v>SER-002 → SER-003 → SER-006</x:v>
      </x:c>
      <x:c r="C14" s="1"/>
      <x:c r="D14" s="1"/>
      <x:c r="E14" s="1"/>
      <x:c r="F14" s="1"/>
      <x:c r="G14" s="1"/>
      <x:c r="H14" s="1"/>
    </x:row>
    <x:row r="15">
      <x:c r="A15" s="178" t="str">
        <x:v>Git sync</x:v>
      </x:c>
      <x:c r="B15" s="189" t="str">
        <x:v>PENDING / NOT ATTEMPTED</x:v>
      </x:c>
      <x:c r="C15" s="1"/>
      <x:c r="D15" s="1"/>
      <x:c r="E15" s="1"/>
      <x:c r="F15" s="1"/>
      <x:c r="G15" s="1"/>
      <x:c r="H15" s="1"/>
    </x:row>
    <x:row r="16">
      <x:c r="A16" s="178" t="str">
        <x:v>Devin delivery</x:v>
      </x:c>
      <x:c r="B16" s="189" t="str">
        <x:v>NOT_PERFORMED</x:v>
      </x:c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88" t="str">
        <x:v>Acceptance concept</x:v>
      </x:c>
      <x:c r="B18" s="188" t="str">
        <x:v>Disposition</x:v>
      </x:c>
      <x:c r="C18" s="188" t="str">
        <x:v>Existing home</x:v>
      </x:c>
      <x:c r="D18" s="188" t="str">
        <x:v>Current state</x:v>
      </x:c>
      <x:c r="E18" s="188" t="str">
        <x:v>Evidence needed</x:v>
      </x:c>
      <x:c r="F18" s="188" t="str">
        <x:v>Owner/phase</x:v>
      </x:c>
      <x:c r="G18" s="1"/>
      <x:c r="H18" s="1"/>
    </x:row>
    <x:row r="19" ht="50" customHeight="1">
      <x:c r="A19" s="19" t="str">
        <x:v>Governed Self-Model</x:v>
      </x:c>
      <x:c r="B19" s="19" t="str">
        <x:v>EXTEND</x:v>
      </x:c>
      <x:c r="C19" s="19" t="str">
        <x:v>56/69; 0005/0008/0024</x:v>
      </x:c>
      <x:c r="D19" s="19" t="str">
        <x:v>DESIGN / NOT IMPLEMENTED</x:v>
      </x:c>
      <x:c r="E19" s="19" t="str">
        <x:v>FX-L/M</x:v>
      </x:c>
      <x:c r="F19" s="19" t="str">
        <x:v>Devin post-reconciliation</x:v>
      </x:c>
      <x:c r="G19" s="1"/>
      <x:c r="H19" s="1"/>
    </x:row>
    <x:row r="20" ht="50" customHeight="1">
      <x:c r="A20" s="19" t="str">
        <x:v>Deterministic Assurance</x:v>
      </x:c>
      <x:c r="B20" s="19" t="str">
        <x:v>EXTEND</x:v>
      </x:c>
      <x:c r="C20" s="19" t="str">
        <x:v>DNA-CAN-009; 75/80</x:v>
      </x:c>
      <x:c r="D20" s="19" t="str">
        <x:v>DESIGN / NOT EXECUTED</x:v>
      </x:c>
      <x:c r="E20" s="19" t="str">
        <x:v>TST-0066/0067 + SER-006</x:v>
      </x:c>
      <x:c r="F20" s="19" t="str">
        <x:v>Devin post-reconciliation</x:v>
      </x:c>
      <x:c r="G20" s="1"/>
      <x:c r="H20" s="1"/>
    </x:row>
    <x:row r="21" ht="50" customHeight="1">
      <x:c r="A21" s="19" t="str">
        <x:v>Documentation milestone</x:v>
      </x:c>
      <x:c r="B21" s="19" t="str">
        <x:v>TARGET</x:v>
      </x:c>
      <x:c r="C21" s="19" t="str">
        <x:v>EXP-ACCEPT-001</x:v>
      </x:c>
      <x:c r="D21" s="19" t="str">
        <x:v>NOT IMPLEMENTED</x:v>
      </x:c>
      <x:c r="E21" s="19" t="str">
        <x:v>FX-M / versioned outputs</x:v>
      </x:c>
      <x:c r="F21" s="19" t="str">
        <x:v>Devin</x:v>
      </x:c>
      <x:c r="G21" s="1"/>
      <x:c r="H21" s="1"/>
    </x:row>
    <x:row r="22" ht="50" customHeight="1">
      <x:c r="A22" s="19" t="str">
        <x:v>Ingestion milestone</x:v>
      </x:c>
      <x:c r="B22" s="19" t="str">
        <x:v>TARGET</x:v>
      </x:c>
      <x:c r="C22" s="19" t="str">
        <x:v>0004/0007/0008; EXP-ACCEPT-002</x:v>
      </x:c>
      <x:c r="D22" s="19" t="str">
        <x:v>CONTRACT DRAFT</x:v>
      </x:c>
      <x:c r="E22" s="19" t="str">
        <x:v>FX-N + restart evidence</x:v>
      </x:c>
      <x:c r="F22" s="19" t="str">
        <x:v>Devin</x:v>
      </x:c>
      <x:c r="G22" s="1"/>
      <x:c r="H22" s="1"/>
    </x:row>
    <x:row r="23" ht="50" customHeight="1">
      <x:c r="A23" s="19" t="str">
        <x:v>Executable Frontier</x:v>
      </x:c>
      <x:c r="B23" s="19" t="str">
        <x:v>DESCRIPTIVE VIEW</x:v>
      </x:c>
      <x:c r="C23" s="19" t="str">
        <x:v>57/58; 0009/0037</x:v>
      </x:c>
      <x:c r="D23" s="19" t="str">
        <x:v>DESIGNED / NOT EXECUTED</x:v>
      </x:c>
      <x:c r="E23" s="19" t="str">
        <x:v>FX-O/P + actual state</x:v>
      </x:c>
      <x:c r="F23" s="19" t="str">
        <x:v>Devin</x:v>
      </x:c>
      <x:c r="G23" s="1"/>
      <x:c r="H23" s="1"/>
    </x:row>
    <x:row r="24" ht="50" customHeight="1">
      <x:c r="A24" s="19" t="str">
        <x:v>Framework candidates</x:v>
      </x:c>
      <x:c r="B24" s="19" t="str">
        <x:v>RESEARCH_ONLY</x:v>
      </x:c>
      <x:c r="C24" s="19" t="str">
        <x:v>RO-ACCEPT-001</x:v>
      </x:c>
      <x:c r="D24" s="19" t="str">
        <x:v>NOT ADOPTED</x:v>
      </x:c>
      <x:c r="E24" s="19" t="str">
        <x:v>fit/license/security/cost/reproducibility</x:v>
      </x:c>
      <x:c r="F24" s="19" t="str">
        <x:v>Devin research</x:v>
      </x:c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88" t="str">
        <x:v>Gate</x:v>
      </x:c>
      <x:c r="B26" s="188" t="str">
        <x:v>Before</x:v>
      </x:c>
      <x:c r="C26" s="188" t="str">
        <x:v>After</x:v>
      </x:c>
      <x:c r="D26" s="188" t="str">
        <x:v>Evidence</x:v>
      </x:c>
      <x:c r="E26" s="188" t="str">
        <x:v>Blocker</x:v>
      </x:c>
      <x:c r="F26" s="188" t="str">
        <x:v>Next action</x:v>
      </x:c>
      <x:c r="G26" s="188" t="str">
        <x:v>Work?</x:v>
      </x:c>
      <x:c r="H26" s="188" t="str">
        <x:v>Devin/source?</x:v>
      </x:c>
    </x:row>
    <x:row r="27" ht="50" customHeight="1">
      <x:c r="A27" s="19" t="str">
        <x:v>G1</x:v>
      </x:c>
      <x:c r="B27" s="19" t="str">
        <x:v>PASS</x:v>
      </x:c>
      <x:c r="C27" s="19" t="str">
        <x:v>PASS</x:v>
      </x:c>
      <x:c r="D27" s="19" t="str">
        <x:v>root identity/North Star</x:v>
      </x:c>
      <x:c r="E27" s="19" t="str">
        <x:v>none</x:v>
      </x:c>
      <x:c r="F27" s="19" t="str">
        <x:v>retain</x:v>
      </x:c>
      <x:c r="G27" s="19" t="str">
        <x:v>yes static</x:v>
      </x:c>
      <x:c r="H27" s="19" t="str">
        <x:v>no source</x:v>
      </x:c>
    </x:row>
    <x:row r="28" ht="50" customHeight="1">
      <x:c r="A28" s="19" t="str">
        <x:v>G2</x:v>
      </x:c>
      <x:c r="B28" s="19" t="str">
        <x:v>PARTIAL</x:v>
      </x:c>
      <x:c r="C28" s="19" t="str">
        <x:v>PARTIAL</x:v>
      </x:c>
      <x:c r="D28" s="19" t="str">
        <x:v>DNA/No-Loss + delta mapped</x:v>
      </x:c>
      <x:c r="E28" s="19" t="str">
        <x:v>SER-001/011/012</x:v>
      </x:c>
      <x:c r="F28" s="19" t="str">
        <x:v>recover/re-run</x:v>
      </x:c>
      <x:c r="G28" s="19" t="str">
        <x:v>partial</x:v>
      </x:c>
      <x:c r="H28" s="19" t="str">
        <x:v>source</x:v>
      </x:c>
    </x:row>
    <x:row r="29" ht="50" customHeight="1">
      <x:c r="A29" s="19" t="str">
        <x:v>G3</x:v>
      </x:c>
      <x:c r="B29" s="19" t="str">
        <x:v>PARTIAL</x:v>
      </x:c>
      <x:c r="C29" s="19" t="str">
        <x:v>PARTIAL</x:v>
      </x:c>
      <x:c r="D29" s="19" t="str">
        <x:v>BOOTSTRAP/ACCEPTANCE/FX-A</x:v>
      </x:c>
      <x:c r="E29" s="19" t="str">
        <x:v>clean session/SER-009</x:v>
      </x:c>
      <x:c r="F29" s="19" t="str">
        <x:v>execute receipt</x:v>
      </x:c>
      <x:c r="G29" s="19" t="str">
        <x:v>no runtime</x:v>
      </x:c>
      <x:c r="H29" s="19" t="str">
        <x:v>Devin/access</x:v>
      </x:c>
    </x:row>
    <x:row r="30" ht="50" customHeight="1">
      <x:c r="A30" s="19" t="str">
        <x:v>G4</x:v>
      </x:c>
      <x:c r="B30" s="19" t="str">
        <x:v>BLOCKED</x:v>
      </x:c>
      <x:c r="C30" s="19" t="str">
        <x:v>BLOCKED</x:v>
      </x:c>
      <x:c r="D30" s="19" t="str">
        <x:v>template only</x:v>
      </x:c>
      <x:c r="E30" s="19" t="str">
        <x:v>SER-002/003/006</x:v>
      </x:c>
      <x:c r="F30" s="19" t="str">
        <x:v>reconcile same commit</x:v>
      </x:c>
      <x:c r="G30" s="19" t="str">
        <x:v>no</x:v>
      </x:c>
      <x:c r="H30" s="19" t="str">
        <x:v>source + Devin</x:v>
      </x:c>
    </x:row>
    <x:row r="31" ht="50" customHeight="1">
      <x:c r="A31" s="19" t="str">
        <x:v>G5</x:v>
      </x:c>
      <x:c r="B31" s="19" t="str">
        <x:v>PARTIAL</x:v>
      </x:c>
      <x:c r="C31" s="19" t="str">
        <x:v>PARTIAL</x:v>
      </x:c>
      <x:c r="D31" s="19" t="str">
        <x:v>dependency + FX-O/P</x:v>
      </x:c>
      <x:c r="E31" s="19" t="str">
        <x:v>actual state/SER-010</x:v>
      </x:c>
      <x:c r="F31" s="19" t="str">
        <x:v>derive frontier</x:v>
      </x:c>
      <x:c r="G31" s="19" t="str">
        <x:v>documentary</x:v>
      </x:c>
      <x:c r="H31" s="19" t="str">
        <x:v>Devin after source</x:v>
      </x:c>
    </x:row>
    <x:row r="32" ht="50" customHeight="1">
      <x:c r="A32" s="19" t="str">
        <x:v>G6</x:v>
      </x:c>
      <x:c r="B32" s="19" t="str">
        <x:v>PASS</x:v>
      </x:c>
      <x:c r="C32" s="19" t="str">
        <x:v>PASS</x:v>
      </x:c>
      <x:c r="D32" s="19" t="str">
        <x:v>Expansion Contract</x:v>
      </x:c>
      <x:c r="E32" s="19" t="str">
        <x:v>none for definition</x:v>
      </x:c>
      <x:c r="F32" s="19" t="str">
        <x:v>execute later</x:v>
      </x:c>
      <x:c r="G32" s="19" t="str">
        <x:v>yes static</x:v>
      </x:c>
      <x:c r="H32" s="19" t="str">
        <x:v>Devin</x:v>
      </x:c>
    </x:row>
    <x:row r="33" ht="50" customHeight="1">
      <x:c r="A33" s="19" t="str">
        <x:v>G7</x:v>
      </x:c>
      <x:c r="B33" s="19" t="str">
        <x:v>PASS</x:v>
      </x:c>
      <x:c r="C33" s="19" t="str">
        <x:v>PASS</x:v>
      </x:c>
      <x:c r="D33" s="19" t="str">
        <x:v>Decision Package</x:v>
      </x:c>
      <x:c r="E33" s="19" t="str">
        <x:v>runtime unverified</x:v>
      </x:c>
      <x:c r="F33" s="19" t="str">
        <x:v>run positive/negative</x:v>
      </x:c>
      <x:c r="G33" s="19" t="str">
        <x:v>no runtime</x:v>
      </x:c>
      <x:c r="H33" s="19" t="str">
        <x:v>Devin/human valid case</x:v>
      </x:c>
    </x:row>
    <x:row r="34" ht="50" customHeight="1">
      <x:c r="A34" s="19" t="str">
        <x:v>G8</x:v>
      </x:c>
      <x:c r="B34" s="19" t="str">
        <x:v>PASS</x:v>
      </x:c>
      <x:c r="C34" s="19" t="str">
        <x:v>PASS</x:v>
      </x:c>
      <x:c r="D34" s="19" t="str">
        <x:v>state/evidence rules</x:v>
      </x:c>
      <x:c r="E34" s="19" t="str">
        <x:v>enforcement unverified</x:v>
      </x:c>
      <x:c r="F34" s="19" t="str">
        <x:v>reject unsupported delta</x:v>
      </x:c>
      <x:c r="G34" s="19" t="str">
        <x:v>static</x:v>
      </x:c>
      <x:c r="H34" s="19" t="str">
        <x:v>Devin</x:v>
      </x:c>
    </x:row>
    <x:row r="35" ht="50" customHeight="1">
      <x:c r="A35" s="19" t="str">
        <x:v>G9</x:v>
      </x:c>
      <x:c r="B35" s="19" t="str">
        <x:v>PARTIAL</x:v>
      </x:c>
      <x:c r="C35" s="19" t="str">
        <x:v>PARTIAL</x:v>
      </x:c>
      <x:c r="D35" s="19" t="str">
        <x:v>matrix + FX-M/N/P</x:v>
      </x:c>
      <x:c r="E35" s="19" t="str">
        <x:v>not executed</x:v>
      </x:c>
      <x:c r="F35" s="19" t="str">
        <x:v>apply matrix</x:v>
      </x:c>
      <x:c r="G35" s="19" t="str">
        <x:v>no runtime</x:v>
      </x:c>
      <x:c r="H35" s="19" t="str">
        <x:v>Devin</x:v>
      </x:c>
    </x:row>
    <x:row r="36" ht="50" customHeight="1">
      <x:c r="A36" s="19" t="str">
        <x:v>G10</x:v>
      </x:c>
      <x:c r="B36" s="19" t="str">
        <x:v>NOT_EXECUTED</x:v>
      </x:c>
      <x:c r="C36" s="19" t="str">
        <x:v>NOT_EXECUTED</x:v>
      </x:c>
      <x:c r="D36" s="19" t="str">
        <x:v>FX-J/N/TST-0073</x:v>
      </x:c>
      <x:c r="E36" s="19" t="str">
        <x:v>no A/B receipts</x:v>
      </x:c>
      <x:c r="F36" s="19" t="str">
        <x:v>restart test</x:v>
      </x:c>
      <x:c r="G36" s="19" t="str">
        <x:v>no</x:v>
      </x:c>
      <x:c r="H36" s="19" t="str">
        <x:v>Devin/access</x:v>
      </x:c>
    </x:row>
    <x:row r="37" ht="50" customHeight="1">
      <x:c r="A37" s="19" t="str">
        <x:v>G11</x:v>
      </x:c>
      <x:c r="B37" s="19" t="str">
        <x:v>PASS local</x:v>
      </x:c>
      <x:c r="C37" s="19" t="str">
        <x:v>PASS local</x:v>
      </x:c>
      <x:c r="D37" s="19" t="str">
        <x:v>zero-error validator + 186/183 manifest</x:v>
      </x:c>
      <x:c r="E37" s="19" t="str">
        <x:v>none for local integrity</x:v>
      </x:c>
      <x:c r="F37" s="19" t="str">
        <x:v>rerun after delta</x:v>
      </x:c>
      <x:c r="G37" s="19" t="str">
        <x:v>yes</x:v>
      </x:c>
      <x:c r="H37" s="19" t="str">
        <x:v>no Git required</x:v>
      </x:c>
    </x:row>
    <x:row r="38" ht="50" customHeight="1">
      <x:c r="A38" s="19" t="str">
        <x:v>G12</x:v>
      </x:c>
      <x:c r="B38" s="19" t="str">
        <x:v>PASS</x:v>
      </x:c>
      <x:c r="C38" s="19" t="str">
        <x:v>PASS</x:v>
      </x:c>
      <x:c r="D38" s="19" t="str">
        <x:v>14 SER + 25 RO + gaps</x:v>
      </x:c>
      <x:c r="E38" s="19" t="str">
        <x:v>none</x:v>
      </x:c>
      <x:c r="F38" s="19" t="str">
        <x:v>preserve</x:v>
      </x:c>
      <x:c r="G38" s="19" t="str">
        <x:v>yes</x:v>
      </x:c>
      <x:c r="H38" s="19" t="str">
        <x:v>no</x:v>
      </x:c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88" t="str">
        <x:v>Resume refinement</x:v>
      </x:c>
      <x:c r="B40" s="188" t="str">
        <x:v>Disposition</x:v>
      </x:c>
      <x:c r="C40" s="188" t="str">
        <x:v>Existing home</x:v>
      </x:c>
      <x:c r="D40" s="188" t="str">
        <x:v>Current state</x:v>
      </x:c>
      <x:c r="E40" s="188" t="str">
        <x:v>Evidence needed</x:v>
      </x:c>
      <x:c r="F40" s="188" t="str">
        <x:v>Phase</x:v>
      </x:c>
      <x:c r="G40" s="1"/>
      <x:c r="H40" s="1"/>
    </x:row>
    <x:row r="41" ht="50" customHeight="1">
      <x:c r="A41" s="19" t="str">
        <x:v>Access/authority/adoption</x:v>
      </x:c>
      <x:c r="B41" s="19" t="str">
        <x:v>EXTEND</x:v>
      </x:c>
      <x:c r="C41" s="19" t="str">
        <x:v>DNA-CAN-018; 54/75</x:v>
      </x:c>
      <x:c r="D41" s="19" t="str">
        <x:v>DESIGN / NOT ENFORCED</x:v>
      </x:c>
      <x:c r="E41" s="19" t="str">
        <x:v>FX-Q/S</x:v>
      </x:c>
      <x:c r="F41" s="19" t="str">
        <x:v>Acceptance</x:v>
      </x:c>
      <x:c r="G41" s="1"/>
      <x:c r="H41" s="1"/>
    </x:row>
    <x:row r="42" ht="50" customHeight="1">
      <x:c r="A42" s="19" t="str">
        <x:v>Environment/Delivery awareness</x:v>
      </x:c>
      <x:c r="B42" s="19" t="str">
        <x:v>EXTEND</x:v>
      </x:c>
      <x:c r="C42" s="19" t="str">
        <x:v>54/56/58/82</x:v>
      </x:c>
      <x:c r="D42" s="19" t="str">
        <x:v>SOURCE GATED</x:v>
      </x:c>
      <x:c r="E42" s="19" t="str">
        <x:v>SER-002/007/009/014</x:v>
      </x:c>
      <x:c r="F42" s="19" t="str">
        <x:v>Devin discovery</x:v>
      </x:c>
      <x:c r="G42" s="1"/>
      <x:c r="H42" s="1"/>
    </x:row>
    <x:row r="43" ht="50" customHeight="1">
      <x:c r="A43" s="19" t="str">
        <x:v>Cross-environment assurance</x:v>
      </x:c>
      <x:c r="B43" s="19" t="str">
        <x:v>FIXTURE/TARGET</x:v>
      </x:c>
      <x:c r="C43" s="19" t="str">
        <x:v>FX-R; EXP-ACCEPT-005</x:v>
      </x:c>
      <x:c r="D43" s="19" t="str">
        <x:v>NOT EXECUTED</x:v>
      </x:c>
      <x:c r="E43" s="19" t="str">
        <x:v>authorized environments</x:v>
      </x:c>
      <x:c r="F43" s="19" t="str">
        <x:v>Devin</x:v>
      </x:c>
      <x:c r="G43" s="1"/>
      <x:c r="H43" s="1"/>
    </x:row>
    <x:row r="44" ht="50" customHeight="1">
      <x:c r="A44" s="19" t="str">
        <x:v>Adoption readiness</x:v>
      </x:c>
      <x:c r="B44" s="19" t="str">
        <x:v>PROFILE TARGET</x:v>
      </x:c>
      <x:c r="C44" s="19" t="str">
        <x:v>FX-S; 75</x:v>
      </x:c>
      <x:c r="D44" s="19" t="str">
        <x:v>NOT EXECUTED</x:v>
      </x:c>
      <x:c r="E44" s="19" t="str">
        <x:v>owner criteria + evidence</x:v>
      </x:c>
      <x:c r="F44" s="19" t="str">
        <x:v>Human + Devin</x:v>
      </x:c>
      <x:c r="G44" s="1"/>
      <x:c r="H44" s="1"/>
    </x:row>
    <x:row r="45" ht="50" customHeight="1">
      <x:c r="A45" s="19" t="str">
        <x:v>Multi-architect portfolio</x:v>
      </x:c>
      <x:c r="B45" s="19" t="str">
        <x:v>TARGET</x:v>
      </x:c>
      <x:c r="C45" s="19" t="str">
        <x:v>57/58; FX-T</x:v>
      </x:c>
      <x:c r="D45" s="19" t="str">
        <x:v>NOT EXECUTED</x:v>
      </x:c>
      <x:c r="E45" s="19" t="str">
        <x:v>users/resources/ALM</x:v>
      </x:c>
      <x:c r="F45" s="19" t="str">
        <x:v>Devin</x:v>
      </x:c>
      <x:c r="G45" s="1"/>
      <x:c r="H45" s="1"/>
    </x:row>
    <x:row r="46" ht="50" customHeight="1">
      <x:c r="A46" s="19" t="str">
        <x:v>Architect cognitive load</x:v>
      </x:c>
      <x:c r="B46" s="19" t="str">
        <x:v>EXPANSION</x:v>
      </x:c>
      <x:c r="C46" s="19" t="str">
        <x:v>EXP-ACCEPT-009</x:v>
      </x:c>
      <x:c r="D46" s="19" t="str">
        <x:v>RESEARCH REQUIRED</x:v>
      </x:c>
      <x:c r="E46" s="19" t="str">
        <x:v>RO-3C-013 + users</x:v>
      </x:c>
      <x:c r="F46" s="19" t="str">
        <x:v>Devin research</x:v>
      </x:c>
      <x:c r="G46" s="1"/>
      <x:c r="H46" s="1"/>
    </x:row>
  </x:sheetData>
  <x:mergeCells>
    <x:mergeCell ref="A1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30" hidden="0" customWidth="1"/>
    <x:col min="4" max="4" width="36" hidden="0" customWidth="1"/>
    <x:col min="5" max="5" width="24" hidden="0" customWidth="1"/>
    <x:col min="6" max="6" width="18" hidden="0" customWidth="1"/>
    <x:col min="7" max="7" width="24" hidden="0" customWidth="1"/>
    <x:col min="8" max="8" width="22" hidden="0" customWidth="1"/>
  </x:cols>
  <x:sheetData>
    <x:row r="1">
      <x:c r="A1" s="187" t="str">
        <x:v>HAPPY — Final Seed Closure | 1.0.0-rc1 | HANDOFF READY</x:v>
      </x:c>
      <x:c r="B1" s="187"/>
      <x:c r="C1" s="187"/>
      <x:c r="D1" s="187"/>
      <x:c r="E1" s="187"/>
      <x:c r="F1" s="187"/>
      <x:c r="G1" s="187"/>
      <x:c r="H1" s="187"/>
    </x:row>
    <x:row r="2">
      <x:c r="A2" s="187"/>
      <x:c r="B2" s="187"/>
      <x:c r="C2" s="187"/>
      <x:c r="D2" s="187"/>
      <x:c r="E2" s="187"/>
      <x:c r="F2" s="187"/>
      <x:c r="G2" s="187"/>
      <x:c r="H2" s="187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88" t="str">
        <x:v>Control</x:v>
      </x:c>
      <x:c r="B4" s="188" t="str">
        <x:v>State</x:v>
      </x:c>
      <x:c r="C4" s="1"/>
      <x:c r="D4" s="1"/>
      <x:c r="E4" s="1"/>
      <x:c r="F4" s="1"/>
      <x:c r="G4" s="1"/>
      <x:c r="H4" s="1"/>
    </x:row>
    <x:row r="5">
      <x:c r="A5" s="178" t="str">
        <x:v>Input</x:v>
      </x:c>
      <x:c r="B5" s="189" t="str">
        <x:v>0.9.1-acceptance-prep.1</x:v>
      </x:c>
      <x:c r="C5" s="1"/>
      <x:c r="D5" s="1"/>
      <x:c r="E5" s="1"/>
      <x:c r="F5" s="1"/>
      <x:c r="G5" s="1"/>
      <x:c r="H5" s="1"/>
    </x:row>
    <x:row r="6">
      <x:c r="A6" s="178" t="str">
        <x:v>Output</x:v>
      </x:c>
      <x:c r="B6" s="189" t="str">
        <x:v>1.0.0-rc1</x:v>
      </x:c>
      <x:c r="C6" s="1"/>
      <x:c r="D6" s="1"/>
      <x:c r="E6" s="1"/>
      <x:c r="F6" s="1"/>
      <x:c r="G6" s="1"/>
      <x:c r="H6" s="1"/>
    </x:row>
    <x:row r="7">
      <x:c r="A7" s="178" t="str">
        <x:v>Snapshot</x:v>
      </x:c>
      <x:c r="B7" s="189" t="str">
        <x:v>SEED-SNAPSHOT-CLOSE-001</x:v>
      </x:c>
      <x:c r="C7" s="1"/>
      <x:c r="D7" s="1"/>
      <x:c r="E7" s="1"/>
      <x:c r="F7" s="1"/>
      <x:c r="G7" s="1"/>
      <x:c r="H7" s="1"/>
    </x:row>
    <x:row r="8">
      <x:c r="A8" s="178" t="str">
        <x:v>Status</x:v>
      </x:c>
      <x:c r="B8" s="189" t="str">
        <x:v>HANDOFF_READY / PREPARED_NOT_DELIVERED</x:v>
      </x:c>
      <x:c r="C8" s="1"/>
      <x:c r="D8" s="1"/>
      <x:c r="E8" s="1"/>
      <x:c r="F8" s="1"/>
      <x:c r="G8" s="1"/>
      <x:c r="H8" s="1"/>
    </x:row>
    <x:row r="9">
      <x:c r="A9" s="178" t="str">
        <x:v>HAPPY_HANDOFF_READY</x:v>
      </x:c>
      <x:c r="B9" s="189" t="str">
        <x:v>TRUE</x:v>
      </x:c>
      <x:c r="C9" s="1"/>
      <x:c r="D9" s="1"/>
      <x:c r="E9" s="1"/>
      <x:c r="F9" s="1"/>
      <x:c r="G9" s="1"/>
      <x:c r="H9" s="1"/>
    </x:row>
    <x:row r="10">
      <x:c r="A10" s="178" t="str">
        <x:v>BUILD BASELINE READY</x:v>
      </x:c>
      <x:c r="B10" s="189" t="str">
        <x:v>FALSE</x:v>
      </x:c>
      <x:c r="C10" s="1"/>
      <x:c r="D10" s="1"/>
      <x:c r="E10" s="1"/>
      <x:c r="F10" s="1"/>
      <x:c r="G10" s="1"/>
      <x:c r="H10" s="1"/>
    </x:row>
    <x:row r="11">
      <x:c r="A11" s="178" t="str">
        <x:v>New Specs</x:v>
      </x:c>
      <x:c r="B11" s="189" t="str">
        <x:v>0</x:v>
      </x:c>
      <x:c r="C11" s="1"/>
      <x:c r="D11" s="1"/>
      <x:c r="E11" s="1"/>
      <x:c r="F11" s="1"/>
      <x:c r="G11" s="1"/>
      <x:c r="H11" s="1"/>
    </x:row>
    <x:row r="12">
      <x:c r="A12" s="178" t="str">
        <x:v>Primary deferred path</x:v>
      </x:c>
      <x:c r="B12" s="189" t="str">
        <x:v>SER-002 → SER-003 → SER-006</x:v>
      </x:c>
      <x:c r="C12" s="1"/>
      <x:c r="D12" s="1"/>
      <x:c r="E12" s="1"/>
      <x:c r="F12" s="1"/>
      <x:c r="G12" s="1"/>
      <x:c r="H12" s="1"/>
    </x:row>
    <x:row r="13">
      <x:c r="A13" s="178" t="str">
        <x:v>Git</x:v>
      </x:c>
      <x:c r="B13" s="189" t="str">
        <x:v>PENDING / NOT ATTEMPTED</x:v>
      </x:c>
      <x:c r="C13" s="1"/>
      <x:c r="D13" s="1"/>
      <x:c r="E13" s="1"/>
      <x:c r="F13" s="1"/>
      <x:c r="G13" s="1"/>
      <x:c r="H13" s="1"/>
    </x:row>
    <x:row r="14">
      <x:c r="A14" s="178" t="str">
        <x:v>Devin delivery</x:v>
      </x:c>
      <x:c r="B14" s="189" t="str">
        <x:v>NOT_PERFORMED</x:v>
      </x:c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88" t="str">
        <x:v>Gate</x:v>
      </x:c>
      <x:c r="B16" s="188" t="str">
        <x:v>Factual state</x:v>
      </x:c>
      <x:c r="C16" s="188" t="str">
        <x:v>Scope</x:v>
      </x:c>
      <x:c r="D16" s="188" t="str">
        <x:v>Remaining execution</x:v>
      </x:c>
      <x:c r="E16" s="188" t="str">
        <x:v>Executor</x:v>
      </x:c>
      <x:c r="F16" s="188" t="str">
        <x:v>Handoff blocker?</x:v>
      </x:c>
      <x:c r="G16" s="188" t="str">
        <x:v>Build blocker?</x:v>
      </x:c>
      <x:c r="H16" s="188" t="str">
        <x:v>Acceptance condition</x:v>
      </x:c>
    </x:row>
    <x:row r="17" ht="50" customHeight="1">
      <x:c r="A17" s="19" t="str">
        <x:v>G1</x:v>
      </x:c>
      <x:c r="B17" s="19" t="str">
        <x:v>PASS</x:v>
      </x:c>
      <x:c r="C17" s="19" t="str">
        <x:v>Seed</x:v>
      </x:c>
      <x:c r="D17" s="19" t="str">
        <x:v>retain</x:v>
      </x:c>
      <x:c r="E17" s="19" t="str">
        <x:v>Work/Devin</x:v>
      </x:c>
      <x:c r="F17" s="19" t="str">
        <x:v>No</x:v>
      </x:c>
      <x:c r="G17" s="19" t="str">
        <x:v>No</x:v>
      </x:c>
      <x:c r="H17" s="19" t="str">
        <x:v>identity loaded</x:v>
      </x:c>
    </x:row>
    <x:row r="18" ht="50" customHeight="1">
      <x:c r="A18" s="19" t="str">
        <x:v>G2</x:v>
      </x:c>
      <x:c r="B18" s="19" t="str">
        <x:v>PASS_HANDOFF / PARTIAL_PROJECT</x:v>
      </x:c>
      <x:c r="C18" s="19" t="str">
        <x:v>Observed corpus</x:v>
      </x:c>
      <x:c r="D18" s="19" t="str">
        <x:v>historical source recovery</x:v>
      </x:c>
      <x:c r="E18" s="19" t="str">
        <x:v>Devin/source</x:v>
      </x:c>
      <x:c r="F18" s="19" t="str">
        <x:v>No</x:v>
      </x:c>
      <x:c r="G18" s="19" t="str">
        <x:v>No</x:v>
      </x:c>
      <x:c r="H18" s="19" t="str">
        <x:v>no false completeness</x:v>
      </x:c>
    </x:row>
    <x:row r="19" ht="50" customHeight="1">
      <x:c r="A19" s="19" t="str">
        <x:v>G3</x:v>
      </x:c>
      <x:c r="B19" s="19" t="str">
        <x:v>PARTIAL / DEFERRED</x:v>
      </x:c>
      <x:c r="C19" s="19" t="str">
        <x:v>Real session</x:v>
      </x:c>
      <x:c r="D19" s="19" t="str">
        <x:v>clean bootstrap</x:v>
      </x:c>
      <x:c r="E19" s="19" t="str">
        <x:v>Devin</x:v>
      </x:c>
      <x:c r="F19" s="19" t="str">
        <x:v>No</x:v>
      </x:c>
      <x:c r="G19" s="19" t="str">
        <x:v>No</x:v>
      </x:c>
      <x:c r="H19" s="19" t="str">
        <x:v>BootstrapReceipt</x:v>
      </x:c>
    </x:row>
    <x:row r="20" ht="50" customHeight="1">
      <x:c r="A20" s="19" t="str">
        <x:v>G4</x:v>
      </x:c>
      <x:c r="B20" s="19" t="str">
        <x:v>BLOCKED / DEFERRED</x:v>
      </x:c>
      <x:c r="C20" s="19" t="str">
        <x:v>Real repo/runtime</x:v>
      </x:c>
      <x:c r="D20" s="19" t="str">
        <x:v>SER-002/003/006</x:v>
      </x:c>
      <x:c r="E20" s="19" t="str">
        <x:v>Devin/source</x:v>
      </x:c>
      <x:c r="F20" s="19" t="str">
        <x:v>No</x:v>
      </x:c>
      <x:c r="G20" s="19" t="str">
        <x:v>Yes</x:v>
      </x:c>
      <x:c r="H20" s="19" t="str">
        <x:v>three same-commit receipts</x:v>
      </x:c>
    </x:row>
    <x:row r="21" ht="50" customHeight="1">
      <x:c r="A21" s="19" t="str">
        <x:v>G5</x:v>
      </x:c>
      <x:c r="B21" s="19" t="str">
        <x:v>PARTIAL / DEFERRED</x:v>
      </x:c>
      <x:c r="C21" s="19" t="str">
        <x:v>Observed frontier</x:v>
      </x:c>
      <x:c r="D21" s="19" t="str">
        <x:v>derive frontier</x:v>
      </x:c>
      <x:c r="E21" s="19" t="str">
        <x:v>Devin</x:v>
      </x:c>
      <x:c r="F21" s="19" t="str">
        <x:v>No</x:v>
      </x:c>
      <x:c r="G21" s="19" t="str">
        <x:v>Yes</x:v>
      </x:c>
      <x:c r="H21" s="19" t="str">
        <x:v>eligibility rationale</x:v>
      </x:c>
    </x:row>
    <x:row r="22" ht="50" customHeight="1">
      <x:c r="A22" s="19" t="str">
        <x:v>G6</x:v>
      </x:c>
      <x:c r="B22" s="19" t="str">
        <x:v>PASS</x:v>
      </x:c>
      <x:c r="C22" s="19" t="str">
        <x:v>Seed</x:v>
      </x:c>
      <x:c r="D22" s="19" t="str">
        <x:v>exercise later</x:v>
      </x:c>
      <x:c r="E22" s="19" t="str">
        <x:v>Devin</x:v>
      </x:c>
      <x:c r="F22" s="19" t="str">
        <x:v>No</x:v>
      </x:c>
      <x:c r="G22" s="19" t="str">
        <x:v>No</x:v>
      </x:c>
      <x:c r="H22" s="19" t="str">
        <x:v>expansion chain</x:v>
      </x:c>
    </x:row>
    <x:row r="23" ht="50" customHeight="1">
      <x:c r="A23" s="19" t="str">
        <x:v>G7</x:v>
      </x:c>
      <x:c r="B23" s="19" t="str">
        <x:v>PASS</x:v>
      </x:c>
      <x:c r="C23" s="19" t="str">
        <x:v>Seed</x:v>
      </x:c>
      <x:c r="D23" s="19" t="str">
        <x:v>exercise later</x:v>
      </x:c>
      <x:c r="E23" s="19" t="str">
        <x:v>Devin/human</x:v>
      </x:c>
      <x:c r="F23" s="19" t="str">
        <x:v>No</x:v>
      </x:c>
      <x:c r="G23" s="19" t="str">
        <x:v>No</x:v>
      </x:c>
      <x:c r="H23" s="19" t="str">
        <x:v>irreducible only</x:v>
      </x:c>
    </x:row>
    <x:row r="24" ht="50" customHeight="1">
      <x:c r="A24" s="19" t="str">
        <x:v>G8</x:v>
      </x:c>
      <x:c r="B24" s="19" t="str">
        <x:v>PASS</x:v>
      </x:c>
      <x:c r="C24" s="19" t="str">
        <x:v>Seed/runtime</x:v>
      </x:c>
      <x:c r="D24" s="19" t="str">
        <x:v>enforce</x:v>
      </x:c>
      <x:c r="E24" s="19" t="str">
        <x:v>Devin</x:v>
      </x:c>
      <x:c r="F24" s="19" t="str">
        <x:v>No</x:v>
      </x:c>
      <x:c r="G24" s="19" t="str">
        <x:v>Yes</x:v>
      </x:c>
      <x:c r="H24" s="19" t="str">
        <x:v>evidence promotion</x:v>
      </x:c>
    </x:row>
    <x:row r="25" ht="50" customHeight="1">
      <x:c r="A25" s="19" t="str">
        <x:v>G9</x:v>
      </x:c>
      <x:c r="B25" s="19" t="str">
        <x:v>PARTIAL / DEFERRED</x:v>
      </x:c>
      <x:c r="C25" s="19" t="str">
        <x:v>Capability execution</x:v>
      </x:c>
      <x:c r="D25" s="19" t="str">
        <x:v>apply matrix</x:v>
      </x:c>
      <x:c r="E25" s="19" t="str">
        <x:v>Devin</x:v>
      </x:c>
      <x:c r="F25" s="19" t="str">
        <x:v>No</x:v>
      </x:c>
      <x:c r="G25" s="19" t="str">
        <x:v>Yes</x:v>
      </x:c>
      <x:c r="H25" s="19" t="str">
        <x:v>vectors checked</x:v>
      </x:c>
    </x:row>
    <x:row r="26" ht="50" customHeight="1">
      <x:c r="A26" s="19" t="str">
        <x:v>G10</x:v>
      </x:c>
      <x:c r="B26" s="19" t="str">
        <x:v>NOT_EXECUTED / DEFERRED</x:v>
      </x:c>
      <x:c r="C26" s="19" t="str">
        <x:v>Session A/B</x:v>
      </x:c>
      <x:c r="D26" s="19" t="str">
        <x:v>restart test</x:v>
      </x:c>
      <x:c r="E26" s="19" t="str">
        <x:v>Devin</x:v>
      </x:c>
      <x:c r="F26" s="19" t="str">
        <x:v>No</x:v>
      </x:c>
      <x:c r="G26" s="19" t="str">
        <x:v>Yes</x:v>
      </x:c>
      <x:c r="H26" s="19" t="str">
        <x:v>equivalence receipt</x:v>
      </x:c>
    </x:row>
    <x:row r="27" ht="50" customHeight="1">
      <x:c r="A27" s="19" t="str">
        <x:v>G11</x:v>
      </x:c>
      <x:c r="B27" s="19" t="str">
        <x:v>PASS_LOCAL</x:v>
      </x:c>
      <x:c r="C27" s="19" t="str">
        <x:v>Package</x:v>
      </x:c>
      <x:c r="D27" s="19" t="str">
        <x:v>transport recheck</x:v>
      </x:c>
      <x:c r="E27" s="19" t="str">
        <x:v>Work/Devin</x:v>
      </x:c>
      <x:c r="F27" s="19" t="str">
        <x:v>No</x:v>
      </x:c>
      <x:c r="G27" s="19" t="str">
        <x:v>No</x:v>
      </x:c>
      <x:c r="H27" s="19" t="str">
        <x:v>validator/hash/ZIP</x:v>
      </x:c>
    </x:row>
    <x:row r="28" ht="50" customHeight="1">
      <x:c r="A28" s="19" t="str">
        <x:v>G12</x:v>
      </x:c>
      <x:c r="B28" s="19" t="str">
        <x:v>PASS</x:v>
      </x:c>
      <x:c r="C28" s="19" t="str">
        <x:v>Unknowns</x:v>
      </x:c>
      <x:c r="D28" s="19" t="str">
        <x:v>preserve</x:v>
      </x:c>
      <x:c r="E28" s="19" t="str">
        <x:v>Work/Devin</x:v>
      </x:c>
      <x:c r="F28" s="19" t="str">
        <x:v>No</x:v>
      </x:c>
      <x:c r="G28" s="19" t="str">
        <x:v>No</x:v>
      </x:c>
      <x:c r="H28" s="19" t="str">
        <x:v>typed gaps</x:v>
      </x:c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88" t="str">
        <x:v>Deferred item</x:v>
      </x:c>
      <x:c r="B30" s="188" t="str">
        <x:v>Output</x:v>
      </x:c>
      <x:c r="C30" s="188" t="str">
        <x:v>Why deferred</x:v>
      </x:c>
      <x:c r="D30" s="188" t="str">
        <x:v>Verification</x:v>
      </x:c>
      <x:c r="E30" s="188" t="str">
        <x:v>Blocks</x:v>
      </x:c>
      <x:c r="F30" s="188" t="str">
        <x:v>Parallel?</x:v>
      </x:c>
      <x:c r="G30" s="188" t="str">
        <x:v>Human dependency</x:v>
      </x:c>
      <x:c r="H30" s="188" t="str">
        <x:v>Status</x:v>
      </x:c>
    </x:row>
    <x:row r="31" ht="50" customHeight="1">
      <x:c r="A31" s="19" t="str">
        <x:v>SER-002</x:v>
      </x:c>
      <x:c r="B31" s="19" t="str">
        <x:v>ImplementationSourceReceipt</x:v>
      </x:c>
      <x:c r="C31" s="19" t="str">
        <x:v>real repo absent</x:v>
      </x:c>
      <x:c r="D31" s="19" t="str">
        <x:v>repo/branch/commit inventory</x:v>
      </x:c>
      <x:c r="E31" s="19" t="str">
        <x:v>current state/build</x:v>
      </x:c>
      <x:c r="F31" s="19" t="str">
        <x:v>first</x:v>
      </x:c>
      <x:c r="G31" s="19" t="str">
        <x:v>source/access</x:v>
      </x:c>
      <x:c r="H31" s="19" t="str">
        <x:v>OPEN</x:v>
      </x:c>
    </x:row>
    <x:row r="32" ht="50" customHeight="1">
      <x:c r="A32" s="19" t="str">
        <x:v>SER-003</x:v>
      </x:c>
      <x:c r="B32" s="19" t="str">
        <x:v>BaselineReconciliationReceipt</x:v>
      </x:c>
      <x:c r="C32" s="19" t="str">
        <x:v>baseline inaccessible</x:v>
      </x:c>
      <x:c r="D32" s="19" t="str">
        <x:v>typed historical comparison</x:v>
      </x:c>
      <x:c r="E32" s="19" t="str">
        <x:v>drift history</x:v>
      </x:c>
      <x:c r="F32" s="19" t="str">
        <x:v>after/with 002</x:v>
      </x:c>
      <x:c r="G32" s="19" t="str">
        <x:v>source</x:v>
      </x:c>
      <x:c r="H32" s="19" t="str">
        <x:v>OPEN</x:v>
      </x:c>
    </x:row>
    <x:row r="33" ht="50" customHeight="1">
      <x:c r="A33" s="19" t="str">
        <x:v>SER-006</x:v>
      </x:c>
      <x:c r="B33" s="19" t="str">
        <x:v>BuildRuntimeReceipt</x:v>
      </x:c>
      <x:c r="C33" s="19" t="str">
        <x:v>real toolchain absent</x:v>
      </x:c>
      <x:c r="D33" s="19" t="str">
        <x:v>same commit + logs</x:v>
      </x:c>
      <x:c r="E33" s="19" t="str">
        <x:v>BUILD</x:v>
      </x:c>
      <x:c r="F33" s="19" t="str">
        <x:v>after 002</x:v>
      </x:c>
      <x:c r="G33" s="19" t="str">
        <x:v>access/resources</x:v>
      </x:c>
      <x:c r="H33" s="19" t="str">
        <x:v>OPEN</x:v>
      </x:c>
    </x:row>
    <x:row r="34" ht="50" customHeight="1">
      <x:c r="A34" s="19" t="str">
        <x:v>Clean bootstrap</x:v>
      </x:c>
      <x:c r="B34" s="19" t="str">
        <x:v>BootstrapReceipt</x:v>
      </x:c>
      <x:c r="C34" s="19" t="str">
        <x:v>no Devin session</x:v>
      </x:c>
      <x:c r="D34" s="19" t="str">
        <x:v>schema + evidence refs</x:v>
      </x:c>
      <x:c r="E34" s="19" t="str">
        <x:v>G3</x:v>
      </x:c>
      <x:c r="F34" s="19" t="str">
        <x:v>coordinates</x:v>
      </x:c>
      <x:c r="G34" s="19" t="str">
        <x:v>no unless access</x:v>
      </x:c>
      <x:c r="H34" s="19" t="str">
        <x:v>NOT_EXECUTED</x:v>
      </x:c>
    </x:row>
    <x:row r="35" ht="50" customHeight="1">
      <x:c r="A35" s="19" t="str">
        <x:v>Session A/B</x:v>
      </x:c>
      <x:c r="B35" s="19" t="str">
        <x:v>Equivalence report</x:v>
      </x:c>
      <x:c r="C35" s="19" t="str">
        <x:v>runtime absent</x:v>
      </x:c>
      <x:c r="D35" s="19" t="str">
        <x:v>semantic equivalence</x:v>
      </x:c>
      <x:c r="E35" s="19" t="str">
        <x:v>G10</x:v>
      </x:c>
      <x:c r="F35" s="19" t="str">
        <x:v>later</x:v>
      </x:c>
      <x:c r="G35" s="19" t="str">
        <x:v>environment</x:v>
      </x:c>
      <x:c r="H35" s="19" t="str">
        <x:v>NOT_EXECUTED</x:v>
      </x:c>
    </x:row>
    <x:row r="36" ht="50" customHeight="1">
      <x:c r="A36" s="19" t="str">
        <x:v>First frontier</x:v>
      </x:c>
      <x:c r="B36" s="19" t="str">
        <x:v>Eligible/blocked work</x:v>
      </x:c>
      <x:c r="C36" s="19" t="str">
        <x:v>actual state unknown</x:v>
      </x:c>
      <x:c r="D36" s="19" t="str">
        <x:v>dependency/entry/authority evidence</x:v>
      </x:c>
      <x:c r="E36" s="19" t="str">
        <x:v>G5</x:v>
      </x:c>
      <x:c r="F36" s="19" t="str">
        <x:v>after reconciliation</x:v>
      </x:c>
      <x:c r="G36" s="19" t="str">
        <x:v>irreducible only</x:v>
      </x:c>
      <x:c r="H36" s="19" t="str">
        <x:v>NOT_EXECUTED</x:v>
      </x:c>
    </x:row>
  </x:sheetData>
  <x:mergeCells>
    <x:mergeCell ref="A1:H2"/>
  </x:mergeCells>
  <x:pageMargins left="0.7" right="0.7" top="0.75" bottom="0.75" header="0.3" footer="0.3"/>
</x:worksheet>
</file>